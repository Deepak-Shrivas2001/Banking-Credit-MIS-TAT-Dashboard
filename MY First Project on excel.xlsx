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Banking-Credit-MIS-TAT-Dashboard\"/>
    </mc:Choice>
  </mc:AlternateContent>
  <xr:revisionPtr revIDLastSave="0" documentId="13_ncr:1_{C7D5E057-7C57-4B8E-870F-223B3FEE9800}" xr6:coauthVersionLast="47" xr6:coauthVersionMax="47" xr10:uidLastSave="{00000000-0000-0000-0000-000000000000}"/>
  <bookViews>
    <workbookView xWindow="-108" yWindow="-108" windowWidth="23256" windowHeight="12576" xr2:uid="{9B7C4381-3628-4D22-B83E-E30CDE217395}"/>
  </bookViews>
  <sheets>
    <sheet name="Shorted table" sheetId="2" r:id="rId1"/>
    <sheet name="Clint Requied KPIs" sheetId="3" r:id="rId2"/>
    <sheet name="Graphical Representation of dat" sheetId="4" r:id="rId3"/>
  </sheets>
  <externalReferences>
    <externalReference r:id="rId4"/>
  </externalReferences>
  <definedNames>
    <definedName name="Slicer_Risk_Band">#N/A</definedName>
    <definedName name="Slicer_SLA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3" l="1"/>
  <c r="M12" i="3"/>
  <c r="O12" i="3" s="1"/>
  <c r="N11" i="3"/>
  <c r="M11" i="3"/>
  <c r="O11" i="3" s="1"/>
  <c r="N10" i="3"/>
  <c r="M10" i="3"/>
  <c r="O10" i="3" s="1"/>
  <c r="O9" i="3"/>
  <c r="N9" i="3"/>
  <c r="M9" i="3"/>
  <c r="O6" i="3"/>
  <c r="N6" i="3"/>
  <c r="M6" i="3"/>
  <c r="N5" i="3"/>
  <c r="M5" i="3"/>
  <c r="O5" i="3" s="1"/>
  <c r="N4" i="3"/>
  <c r="M4" i="3"/>
  <c r="O4" i="3" s="1"/>
  <c r="K51" i="2"/>
  <c r="J51" i="2"/>
  <c r="I51" i="2"/>
  <c r="K50" i="2"/>
  <c r="J50" i="2"/>
  <c r="I50" i="2"/>
  <c r="K49" i="2"/>
  <c r="J49" i="2"/>
  <c r="I49" i="2"/>
  <c r="K48" i="2"/>
  <c r="J48" i="2"/>
  <c r="I48" i="2"/>
  <c r="K47" i="2"/>
  <c r="J47" i="2"/>
  <c r="I47" i="2"/>
  <c r="K46" i="2"/>
  <c r="J46" i="2"/>
  <c r="I46" i="2"/>
  <c r="K45" i="2"/>
  <c r="J45" i="2"/>
  <c r="I45" i="2"/>
  <c r="K44" i="2"/>
  <c r="J44" i="2"/>
  <c r="I44" i="2"/>
  <c r="K43" i="2"/>
  <c r="J43" i="2"/>
  <c r="I43" i="2"/>
  <c r="K42" i="2"/>
  <c r="J42" i="2"/>
  <c r="I42" i="2"/>
  <c r="K41" i="2"/>
  <c r="J41" i="2"/>
  <c r="I41" i="2"/>
  <c r="K40" i="2"/>
  <c r="J40" i="2"/>
  <c r="I40" i="2"/>
  <c r="K39" i="2"/>
  <c r="J39" i="2"/>
  <c r="I39" i="2"/>
  <c r="K38" i="2"/>
  <c r="J38" i="2"/>
  <c r="I38" i="2"/>
  <c r="K37" i="2"/>
  <c r="J37" i="2"/>
  <c r="I37" i="2"/>
  <c r="K36" i="2"/>
  <c r="J36" i="2"/>
  <c r="I36" i="2"/>
  <c r="K35" i="2"/>
  <c r="J35" i="2"/>
  <c r="I35" i="2"/>
  <c r="K34" i="2"/>
  <c r="J34" i="2"/>
  <c r="I34" i="2"/>
  <c r="K33" i="2"/>
  <c r="J33" i="2"/>
  <c r="I33" i="2"/>
  <c r="K32" i="2"/>
  <c r="J32" i="2"/>
  <c r="I32" i="2"/>
  <c r="K31" i="2"/>
  <c r="J31" i="2"/>
  <c r="I31" i="2"/>
  <c r="K30" i="2"/>
  <c r="J30" i="2"/>
  <c r="I30" i="2"/>
  <c r="K29" i="2"/>
  <c r="J29" i="2"/>
  <c r="I29" i="2"/>
  <c r="K28" i="2"/>
  <c r="J28" i="2"/>
  <c r="I28" i="2"/>
  <c r="K27" i="2"/>
  <c r="J27" i="2"/>
  <c r="I27" i="2"/>
  <c r="K26" i="2"/>
  <c r="J26" i="2"/>
  <c r="I26" i="2"/>
  <c r="K25" i="2"/>
  <c r="J25" i="2"/>
  <c r="I25" i="2"/>
  <c r="K24" i="2"/>
  <c r="J24" i="2"/>
  <c r="I24" i="2"/>
  <c r="K23" i="2"/>
  <c r="J23" i="2"/>
  <c r="I23" i="2"/>
  <c r="K22" i="2"/>
  <c r="J22" i="2"/>
  <c r="I22" i="2"/>
  <c r="K21" i="2"/>
  <c r="J21" i="2"/>
  <c r="I21" i="2"/>
  <c r="K20" i="2"/>
  <c r="J20" i="2"/>
  <c r="I20" i="2"/>
  <c r="K19" i="2"/>
  <c r="J19" i="2"/>
  <c r="I19" i="2"/>
  <c r="K18" i="2"/>
  <c r="J18" i="2"/>
  <c r="I18" i="2"/>
  <c r="K17" i="2"/>
  <c r="J17" i="2"/>
  <c r="I17" i="2"/>
  <c r="K16" i="2"/>
  <c r="J16" i="2"/>
  <c r="I16" i="2"/>
  <c r="K15" i="2"/>
  <c r="J15" i="2"/>
  <c r="I15" i="2"/>
  <c r="K14" i="2"/>
  <c r="J14" i="2"/>
  <c r="I14" i="2"/>
  <c r="K13" i="2"/>
  <c r="J13" i="2"/>
  <c r="I13" i="2"/>
  <c r="K12" i="2"/>
  <c r="J12" i="2"/>
  <c r="I12" i="2"/>
  <c r="K11" i="2"/>
  <c r="J11" i="2"/>
  <c r="I11" i="2"/>
  <c r="K10" i="2"/>
  <c r="J10" i="2"/>
  <c r="I10" i="2"/>
  <c r="K9" i="2"/>
  <c r="J9" i="2"/>
  <c r="I9" i="2"/>
  <c r="K8" i="2"/>
  <c r="J8" i="2"/>
  <c r="I8" i="2"/>
  <c r="K7" i="2"/>
  <c r="J7" i="2"/>
  <c r="I7" i="2"/>
  <c r="K6" i="2"/>
  <c r="J6" i="2"/>
  <c r="I6" i="2"/>
  <c r="N5" i="2"/>
  <c r="O5" i="2" s="1"/>
  <c r="P5" i="2" s="1"/>
  <c r="Q5" i="2" s="1"/>
  <c r="R5" i="2" s="1"/>
  <c r="S5" i="2" s="1"/>
  <c r="T5" i="2" s="1"/>
  <c r="U5" i="2" s="1"/>
  <c r="V5" i="2" s="1"/>
  <c r="W5" i="2" s="1"/>
  <c r="K5" i="2"/>
  <c r="J5" i="2"/>
  <c r="I5" i="2"/>
  <c r="N4" i="2"/>
  <c r="O4" i="2" s="1"/>
  <c r="P4" i="2" s="1"/>
  <c r="Q4" i="2" s="1"/>
  <c r="R4" i="2" s="1"/>
  <c r="S4" i="2" s="1"/>
  <c r="T4" i="2" s="1"/>
  <c r="U4" i="2" s="1"/>
  <c r="V4" i="2" s="1"/>
  <c r="W4" i="2" s="1"/>
  <c r="K4" i="2"/>
  <c r="J4" i="2"/>
  <c r="I4" i="2"/>
  <c r="K3" i="2"/>
  <c r="J3" i="2"/>
  <c r="I3" i="2"/>
  <c r="K2" i="2"/>
  <c r="J2" i="2"/>
  <c r="I2" i="2"/>
</calcChain>
</file>

<file path=xl/sharedStrings.xml><?xml version="1.0" encoding="utf-8"?>
<sst xmlns="http://schemas.openxmlformats.org/spreadsheetml/2006/main" count="264" uniqueCount="133">
  <si>
    <t>App ID</t>
  </si>
  <si>
    <t>Customer Name</t>
  </si>
  <si>
    <t>Clean Channel</t>
  </si>
  <si>
    <t>CIBIL Score</t>
  </si>
  <si>
    <t>App Date</t>
  </si>
  <si>
    <t>Decision Date</t>
  </si>
  <si>
    <t>Sanctioned Limit</t>
  </si>
  <si>
    <t>Status</t>
  </si>
  <si>
    <t>TAT DAYS</t>
  </si>
  <si>
    <t>Risk Band</t>
  </si>
  <si>
    <t>SLA Status</t>
  </si>
  <si>
    <t>SBIC-101</t>
  </si>
  <si>
    <t>Rahul Sharma</t>
  </si>
  <si>
    <t>BRANCH</t>
  </si>
  <si>
    <t>Approved</t>
  </si>
  <si>
    <t>SBIC-102</t>
  </si>
  <si>
    <t>Priya Verma</t>
  </si>
  <si>
    <t>ONLINE</t>
  </si>
  <si>
    <t>SBIC-103</t>
  </si>
  <si>
    <t>Amit Patel</t>
  </si>
  <si>
    <t>TELE- SALSE</t>
  </si>
  <si>
    <t>Rejected</t>
  </si>
  <si>
    <t>SBIC-105</t>
  </si>
  <si>
    <t>SBIC-104</t>
  </si>
  <si>
    <t>Sneha Gupta</t>
  </si>
  <si>
    <t>DSA</t>
  </si>
  <si>
    <t>SBIC-124</t>
  </si>
  <si>
    <t>Vikram Singh</t>
  </si>
  <si>
    <t>SBIC-106</t>
  </si>
  <si>
    <t>Ananya Roy</t>
  </si>
  <si>
    <t>SBIC-107</t>
  </si>
  <si>
    <t>Rohan Mehta</t>
  </si>
  <si>
    <t>SBIC-108</t>
  </si>
  <si>
    <t>Kavita Rao</t>
  </si>
  <si>
    <t>SBIC-109</t>
  </si>
  <si>
    <t>Siddharth Jain</t>
  </si>
  <si>
    <t>Pending</t>
  </si>
  <si>
    <t>SBIC-110</t>
  </si>
  <si>
    <t>Pooja Hegde</t>
  </si>
  <si>
    <t>SBIC-111</t>
  </si>
  <si>
    <t>Manish Pandey</t>
  </si>
  <si>
    <t>SBIC-112</t>
  </si>
  <si>
    <t>Neha Sharma</t>
  </si>
  <si>
    <t>SBIC-113</t>
  </si>
  <si>
    <t>Deepak Kumar</t>
  </si>
  <si>
    <t>SBIC-114</t>
  </si>
  <si>
    <t>Aarti Joshi</t>
  </si>
  <si>
    <t>SBIC-115</t>
  </si>
  <si>
    <t>Gaurav Tiwari</t>
  </si>
  <si>
    <t>SBIC-116</t>
  </si>
  <si>
    <t>Swati Mishra</t>
  </si>
  <si>
    <t>SBIC-117</t>
  </si>
  <si>
    <t>Alok Srivastava</t>
  </si>
  <si>
    <t>SBIC-118</t>
  </si>
  <si>
    <t>Divya Nair</t>
  </si>
  <si>
    <t>SBIC-119</t>
  </si>
  <si>
    <t>Karan Malhotra</t>
  </si>
  <si>
    <t>SBIC-120</t>
  </si>
  <si>
    <t>Ritu Saxena</t>
  </si>
  <si>
    <t>SBIC-121</t>
  </si>
  <si>
    <t>Suresh Menon</t>
  </si>
  <si>
    <t>SBIC-122</t>
  </si>
  <si>
    <t>Meenakshi Sundaram</t>
  </si>
  <si>
    <t>SBIC-123</t>
  </si>
  <si>
    <t>Abhishek Yadav</t>
  </si>
  <si>
    <t>Poonam Deshmukh</t>
  </si>
  <si>
    <t>SBIC-125</t>
  </si>
  <si>
    <t>Nitin Gadkari</t>
  </si>
  <si>
    <t>SBIC-126</t>
  </si>
  <si>
    <t>Shweta Tripathi</t>
  </si>
  <si>
    <t>SBIC-127</t>
  </si>
  <si>
    <t>Varun Dhawan</t>
  </si>
  <si>
    <t>SBIC-128</t>
  </si>
  <si>
    <t>Kirti Kulhari</t>
  </si>
  <si>
    <t>SBIC-129</t>
  </si>
  <si>
    <t>Rajesh Khanna</t>
  </si>
  <si>
    <t>SBIC-130</t>
  </si>
  <si>
    <t>Sushmita Sen</t>
  </si>
  <si>
    <t>SBIC-131</t>
  </si>
  <si>
    <t>Manoj Bajpayee</t>
  </si>
  <si>
    <t>SBIC-132</t>
  </si>
  <si>
    <t>Yami Gautam</t>
  </si>
  <si>
    <t>SBIC-133</t>
  </si>
  <si>
    <t>Pankaj Tripathi</t>
  </si>
  <si>
    <t>SBIC-134</t>
  </si>
  <si>
    <t>Radhika Apte</t>
  </si>
  <si>
    <t>SBIC-135</t>
  </si>
  <si>
    <t>Nawazuddin Siddiqui</t>
  </si>
  <si>
    <t>SBIC-136</t>
  </si>
  <si>
    <t>Taapsee Pannu</t>
  </si>
  <si>
    <t>SBIC-137</t>
  </si>
  <si>
    <t>Vidyut Jammwal</t>
  </si>
  <si>
    <t>SBIC-138</t>
  </si>
  <si>
    <t>Bhumi Pednekar</t>
  </si>
  <si>
    <t>SBIC-139</t>
  </si>
  <si>
    <t>Rajkummar Rao</t>
  </si>
  <si>
    <t>SBIC-140</t>
  </si>
  <si>
    <t>Sanya Malhotra</t>
  </si>
  <si>
    <t>SBIC-141</t>
  </si>
  <si>
    <t>Ayushmann Khurrana</t>
  </si>
  <si>
    <t>SBIC-142</t>
  </si>
  <si>
    <t>Fatima Sana</t>
  </si>
  <si>
    <t>SBIC-143</t>
  </si>
  <si>
    <t>Vicky Kaushal</t>
  </si>
  <si>
    <t>SBIC-144</t>
  </si>
  <si>
    <t>Kriti Sanon</t>
  </si>
  <si>
    <t>SBIC-145</t>
  </si>
  <si>
    <t>Kartik Aaryan</t>
  </si>
  <si>
    <t>SBIC-146</t>
  </si>
  <si>
    <t>Sara Ali Khan</t>
  </si>
  <si>
    <t>SBIC-147</t>
  </si>
  <si>
    <t>Janhvi Kapoor</t>
  </si>
  <si>
    <t>SBIC-148</t>
  </si>
  <si>
    <t>Ananya Panday</t>
  </si>
  <si>
    <t>SBIC-149</t>
  </si>
  <si>
    <t>Ishan Khatter</t>
  </si>
  <si>
    <t>SBIC-150</t>
  </si>
  <si>
    <t>Tara Sutaria</t>
  </si>
  <si>
    <t>Row Labels</t>
  </si>
  <si>
    <t>Sum of Sanctioned Limit</t>
  </si>
  <si>
    <t>Average of TAT DAYS</t>
  </si>
  <si>
    <t>Count of App ID</t>
  </si>
  <si>
    <t>Total</t>
  </si>
  <si>
    <t>Rejection Rate in %</t>
  </si>
  <si>
    <t>Tire 1 Prime</t>
  </si>
  <si>
    <t>SLA Breached</t>
  </si>
  <si>
    <t>Tire 2 Standerd</t>
  </si>
  <si>
    <t>Within SLA</t>
  </si>
  <si>
    <t>Tire 3 Subprime</t>
  </si>
  <si>
    <t>Grand Total</t>
  </si>
  <si>
    <t>Channel</t>
  </si>
  <si>
    <t>total</t>
  </si>
  <si>
    <t>Approvel Rate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</si>
</sst>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499984740745262"/>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0" fillId="2" borderId="1" xfId="0" applyFill="1" applyBorder="1" applyAlignment="1">
      <alignment horizontal="center"/>
    </xf>
    <xf numFmtId="0" fontId="0" fillId="0" borderId="0" xfId="0" applyAlignment="1">
      <alignment horizontal="left"/>
    </xf>
    <xf numFmtId="2" fontId="0" fillId="0" borderId="0" xfId="0" applyNumberFormat="1"/>
    <xf numFmtId="9" fontId="0" fillId="0" borderId="1" xfId="1" applyFont="1" applyBorder="1" applyAlignment="1">
      <alignment horizontal="center"/>
    </xf>
    <xf numFmtId="0" fontId="0" fillId="0" borderId="0" xfId="0" applyNumberFormat="1"/>
    <xf numFmtId="0" fontId="0" fillId="0" borderId="0" xfId="0" applyAlignment="1">
      <alignment horizontal="center"/>
    </xf>
    <xf numFmtId="0" fontId="0" fillId="3" borderId="0" xfId="0" applyFill="1"/>
    <xf numFmtId="0" fontId="3" fillId="3" borderId="0" xfId="0" applyFont="1" applyFill="1"/>
    <xf numFmtId="0" fontId="3" fillId="3" borderId="0" xfId="0" applyFont="1" applyFill="1" applyAlignment="1">
      <alignment horizontal="left"/>
    </xf>
    <xf numFmtId="0" fontId="3" fillId="3" borderId="0" xfId="0" applyNumberFormat="1" applyFont="1" applyFill="1"/>
    <xf numFmtId="0" fontId="0" fillId="0" borderId="1" xfId="0" applyFill="1" applyBorder="1" applyAlignment="1">
      <alignment horizontal="center"/>
    </xf>
    <xf numFmtId="9" fontId="0" fillId="0" borderId="1" xfId="1" applyFont="1" applyFill="1" applyBorder="1" applyAlignment="1">
      <alignment horizontal="center"/>
    </xf>
    <xf numFmtId="0" fontId="2" fillId="4" borderId="2" xfId="0" applyFont="1" applyFill="1" applyBorder="1"/>
    <xf numFmtId="0" fontId="2" fillId="4" borderId="3" xfId="0" applyFont="1" applyFill="1" applyBorder="1"/>
    <xf numFmtId="0" fontId="2" fillId="4" borderId="4" xfId="0" applyFont="1" applyFill="1" applyBorder="1"/>
  </cellXfs>
  <cellStyles count="2">
    <cellStyle name="Normal" xfId="0" builtinId="0"/>
    <cellStyle name="Percent" xfId="1" builtinId="5"/>
  </cellStyles>
  <dxfs count="57">
    <dxf>
      <fill>
        <patternFill patternType="solid">
          <fgColor indexed="64"/>
          <bgColor theme="4" tint="-0.499984740745262"/>
        </patternFill>
      </fill>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ill>
        <patternFill patternType="solid">
          <bgColor theme="4" tint="-0.499984740745262"/>
        </patternFill>
      </fill>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ill>
        <patternFill patternType="solid">
          <bgColor theme="4" tint="-0.499984740745262"/>
        </patternFill>
      </fill>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ill>
        <patternFill patternType="solid">
          <bgColor theme="4" tint="-0.499984740745262"/>
        </patternFill>
      </fill>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numFmt numFmtId="2" formatCode="0.0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lotArea>
      <c:layout/>
      <c:doughnutChart>
        <c:varyColors val="1"/>
        <c:ser>
          <c:idx val="0"/>
          <c:order val="0"/>
          <c:tx>
            <c:strRef>
              <c:f>'Clint Requied KPIs'!$M$8</c:f>
              <c:strCache>
                <c:ptCount val="1"/>
                <c:pt idx="0">
                  <c:v>Approved</c:v>
                </c:pt>
              </c:strCache>
            </c:strRef>
          </c:tx>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KPIs'!$L$9:$L$12</c:f>
              <c:strCache>
                <c:ptCount val="4"/>
                <c:pt idx="0">
                  <c:v>BRANCH</c:v>
                </c:pt>
                <c:pt idx="1">
                  <c:v>DSA</c:v>
                </c:pt>
                <c:pt idx="2">
                  <c:v>ONLINE</c:v>
                </c:pt>
                <c:pt idx="3">
                  <c:v>TELE- SALSE</c:v>
                </c:pt>
              </c:strCache>
            </c:strRef>
          </c:cat>
          <c:val>
            <c:numRef>
              <c:f>'Clint Requied KPIs'!$M$9:$M$12</c:f>
            </c:numRef>
          </c:val>
          <c:extLst>
            <c:ext xmlns:c16="http://schemas.microsoft.com/office/drawing/2014/chart" uri="{C3380CC4-5D6E-409C-BE32-E72D297353CC}">
              <c16:uniqueId val="{00000008-A502-44F3-98EF-5B1200F8E1FA}"/>
            </c:ext>
          </c:extLst>
        </c:ser>
        <c:ser>
          <c:idx val="1"/>
          <c:order val="1"/>
          <c:tx>
            <c:strRef>
              <c:f>'Clint Requied KPIs'!$N$8</c:f>
              <c:strCache>
                <c:ptCount val="1"/>
                <c:pt idx="0">
                  <c:v>total</c:v>
                </c:pt>
              </c:strCache>
            </c:strRef>
          </c:tx>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KPIs'!$L$9:$L$12</c:f>
              <c:strCache>
                <c:ptCount val="4"/>
                <c:pt idx="0">
                  <c:v>BRANCH</c:v>
                </c:pt>
                <c:pt idx="1">
                  <c:v>DSA</c:v>
                </c:pt>
                <c:pt idx="2">
                  <c:v>ONLINE</c:v>
                </c:pt>
                <c:pt idx="3">
                  <c:v>TELE- SALSE</c:v>
                </c:pt>
              </c:strCache>
            </c:strRef>
          </c:cat>
          <c:val>
            <c:numRef>
              <c:f>'Clint Requied KPIs'!$N$9:$N$12</c:f>
            </c:numRef>
          </c:val>
          <c:extLst>
            <c:ext xmlns:c16="http://schemas.microsoft.com/office/drawing/2014/chart" uri="{C3380CC4-5D6E-409C-BE32-E72D297353CC}">
              <c16:uniqueId val="{00000011-A502-44F3-98EF-5B1200F8E1FA}"/>
            </c:ext>
          </c:extLst>
        </c:ser>
        <c:ser>
          <c:idx val="2"/>
          <c:order val="2"/>
          <c:tx>
            <c:strRef>
              <c:f>'Clint Requied KPIs'!$O$8</c:f>
              <c:strCache>
                <c:ptCount val="1"/>
                <c:pt idx="0">
                  <c:v>Approvel Rate in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502-44F3-98EF-5B1200F8E1F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A502-44F3-98EF-5B1200F8E1F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A502-44F3-98EF-5B1200F8E1F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A502-44F3-98EF-5B1200F8E1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KPIs'!$L$9:$L$12</c:f>
              <c:strCache>
                <c:ptCount val="4"/>
                <c:pt idx="0">
                  <c:v>BRANCH</c:v>
                </c:pt>
                <c:pt idx="1">
                  <c:v>DSA</c:v>
                </c:pt>
                <c:pt idx="2">
                  <c:v>ONLINE</c:v>
                </c:pt>
                <c:pt idx="3">
                  <c:v>TELE- SALSE</c:v>
                </c:pt>
              </c:strCache>
            </c:strRef>
          </c:cat>
          <c:val>
            <c:numRef>
              <c:f>'Clint Requied KPIs'!$O$9:$O$12</c:f>
              <c:numCache>
                <c:formatCode>0%</c:formatCode>
                <c:ptCount val="4"/>
                <c:pt idx="0">
                  <c:v>0.61538461538461542</c:v>
                </c:pt>
                <c:pt idx="1">
                  <c:v>0.91666666666666663</c:v>
                </c:pt>
                <c:pt idx="2">
                  <c:v>1</c:v>
                </c:pt>
                <c:pt idx="3">
                  <c:v>0</c:v>
                </c:pt>
              </c:numCache>
            </c:numRef>
          </c:val>
          <c:extLst>
            <c:ext xmlns:c16="http://schemas.microsoft.com/office/drawing/2014/chart" uri="{C3380CC4-5D6E-409C-BE32-E72D297353CC}">
              <c16:uniqueId val="{0000001A-A502-44F3-98EF-5B1200F8E1F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'Clint Requied KPIs'!$M$3</c:f>
              <c:strCache>
                <c:ptCount val="1"/>
                <c:pt idx="0">
                  <c:v>Rejected</c:v>
                </c:pt>
              </c:strCache>
            </c:strRef>
          </c:tx>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KPIs'!$L$4:$L$6</c:f>
              <c:strCache>
                <c:ptCount val="3"/>
                <c:pt idx="0">
                  <c:v>Tire 1 Prime</c:v>
                </c:pt>
                <c:pt idx="1">
                  <c:v>Tire 2 Standerd</c:v>
                </c:pt>
                <c:pt idx="2">
                  <c:v>Tire 3 Subprime</c:v>
                </c:pt>
              </c:strCache>
            </c:strRef>
          </c:cat>
          <c:val>
            <c:numRef>
              <c:f>'Clint Requied KPIs'!$M$4:$M$6</c:f>
            </c:numRef>
          </c:val>
          <c:extLst>
            <c:ext xmlns:c16="http://schemas.microsoft.com/office/drawing/2014/chart" uri="{C3380CC4-5D6E-409C-BE32-E72D297353CC}">
              <c16:uniqueId val="{00000006-E9B2-4693-8770-3F41CC98D569}"/>
            </c:ext>
          </c:extLst>
        </c:ser>
        <c:ser>
          <c:idx val="1"/>
          <c:order val="1"/>
          <c:tx>
            <c:strRef>
              <c:f>'Clint Requied KPIs'!$N$3</c:f>
              <c:strCache>
                <c:ptCount val="1"/>
                <c:pt idx="0">
                  <c:v>Total</c:v>
                </c:pt>
              </c:strCache>
            </c:strRef>
          </c:tx>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KPIs'!$L$4:$L$6</c:f>
              <c:strCache>
                <c:ptCount val="3"/>
                <c:pt idx="0">
                  <c:v>Tire 1 Prime</c:v>
                </c:pt>
                <c:pt idx="1">
                  <c:v>Tire 2 Standerd</c:v>
                </c:pt>
                <c:pt idx="2">
                  <c:v>Tire 3 Subprime</c:v>
                </c:pt>
              </c:strCache>
            </c:strRef>
          </c:cat>
          <c:val>
            <c:numRef>
              <c:f>'Clint Requied KPIs'!$N$4:$N$6</c:f>
            </c:numRef>
          </c:val>
          <c:extLst>
            <c:ext xmlns:c16="http://schemas.microsoft.com/office/drawing/2014/chart" uri="{C3380CC4-5D6E-409C-BE32-E72D297353CC}">
              <c16:uniqueId val="{0000000D-E9B2-4693-8770-3F41CC98D569}"/>
            </c:ext>
          </c:extLst>
        </c:ser>
        <c:ser>
          <c:idx val="2"/>
          <c:order val="2"/>
          <c:tx>
            <c:strRef>
              <c:f>'Clint Requied KPIs'!$O$3</c:f>
              <c:strCache>
                <c:ptCount val="1"/>
                <c:pt idx="0">
                  <c:v>Rejection Rate in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9B2-4693-8770-3F41CC98D56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9B2-4693-8770-3F41CC98D56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E9B2-4693-8770-3F41CC98D56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'Clint Requied KPIs'!$L$4:$L$6</c:f>
              <c:strCache>
                <c:ptCount val="3"/>
                <c:pt idx="0">
                  <c:v>Tire 1 Prime</c:v>
                </c:pt>
                <c:pt idx="1">
                  <c:v>Tire 2 Standerd</c:v>
                </c:pt>
                <c:pt idx="2">
                  <c:v>Tire 3 Subprime</c:v>
                </c:pt>
              </c:strCache>
            </c:strRef>
          </c:cat>
          <c:val>
            <c:numRef>
              <c:f>'Clint Requied KPIs'!$O$4:$O$6</c:f>
              <c:numCache>
                <c:formatCode>0%</c:formatCode>
                <c:ptCount val="3"/>
                <c:pt idx="0">
                  <c:v>4.3478260869565216E-2</c:v>
                </c:pt>
                <c:pt idx="1">
                  <c:v>0</c:v>
                </c:pt>
                <c:pt idx="2">
                  <c:v>0.75</c:v>
                </c:pt>
              </c:numCache>
            </c:numRef>
          </c:val>
          <c:extLst>
            <c:ext xmlns:c16="http://schemas.microsoft.com/office/drawing/2014/chart" uri="{C3380CC4-5D6E-409C-BE32-E72D297353CC}">
              <c16:uniqueId val="{00000014-E9B2-4693-8770-3F41CC98D5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 on excel.xlsx]Clint Requied KPIs!SLA Status</c:name>
    <c:fmtId val="14"/>
  </c:pivotSource>
  <c:chart>
    <c:title>
      <c:tx>
        <c:rich>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r>
              <a:rPr lang="en-US" sz="1400" b="0">
                <a:solidFill>
                  <a:schemeClr val="bg1"/>
                </a:solidFill>
              </a:rPr>
              <a:t>SLA STATUS </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lumMod val="50000"/>
            </a:schemeClr>
          </a:solidFill>
          <a:ln>
            <a:noFill/>
          </a:ln>
          <a:effectLst>
            <a:outerShdw blurRad="254000" sx="102000" sy="102000" algn="ctr" rotWithShape="0">
              <a:prstClr val="black">
                <a:alpha val="20000"/>
              </a:prstClr>
            </a:outerShdw>
          </a:effectLst>
        </c:spPr>
        <c:marker>
          <c:symbol val="none"/>
        </c:marker>
        <c:dLbl>
          <c:idx val="0"/>
          <c:spPr>
            <a:solidFill>
              <a:schemeClr val="accent1">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solidFill>
          <a:ln>
            <a:noFill/>
          </a:ln>
          <a:effectLst>
            <a:outerShdw blurRad="254000" sx="102000" sy="102000" algn="ctr" rotWithShape="0">
              <a:prstClr val="black">
                <a:alpha val="20000"/>
              </a:prstClr>
            </a:outerShdw>
          </a:effectLst>
        </c:spPr>
      </c:pivotFmt>
      <c:pivotFmt>
        <c:idx val="9"/>
        <c:spPr>
          <a:solidFill>
            <a:schemeClr val="accent1">
              <a:lumMod val="5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'Clint Requied KPIs'!$H$3</c:f>
              <c:strCache>
                <c:ptCount val="1"/>
                <c:pt idx="0">
                  <c:v>Total</c:v>
                </c:pt>
              </c:strCache>
            </c:strRef>
          </c:tx>
          <c:spPr>
            <a:solidFill>
              <a:schemeClr val="accent1">
                <a:lumMod val="50000"/>
              </a:schemeClr>
            </a:solidFill>
          </c:spPr>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AD-42ED-9BAE-6544B3DE0B07}"/>
              </c:ext>
            </c:extLst>
          </c:dPt>
          <c:dPt>
            <c:idx val="1"/>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9F-4C9D-A2B6-471477C0E140}"/>
              </c:ext>
            </c:extLst>
          </c:dPt>
          <c:dLbls>
            <c:spPr>
              <a:solidFill>
                <a:schemeClr val="accent1">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'Clint Requied KPIs'!$G$4:$G$6</c:f>
              <c:strCache>
                <c:ptCount val="2"/>
                <c:pt idx="0">
                  <c:v>SLA Breached</c:v>
                </c:pt>
                <c:pt idx="1">
                  <c:v>Within SLA</c:v>
                </c:pt>
              </c:strCache>
            </c:strRef>
          </c:cat>
          <c:val>
            <c:numRef>
              <c:f>'Clint Requied KPIs'!$H$4:$H$6</c:f>
              <c:numCache>
                <c:formatCode>General</c:formatCode>
                <c:ptCount val="2"/>
                <c:pt idx="0">
                  <c:v>18</c:v>
                </c:pt>
                <c:pt idx="1">
                  <c:v>32</c:v>
                </c:pt>
              </c:numCache>
            </c:numRef>
          </c:val>
          <c:extLst>
            <c:ext xmlns:c16="http://schemas.microsoft.com/office/drawing/2014/chart" uri="{C3380CC4-5D6E-409C-BE32-E72D297353CC}">
              <c16:uniqueId val="{00000006-C8AD-42ED-9BAE-6544B3DE0B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 on excel.xlsx]Clint Requied KPIs!Tire wise section amount</c:name>
    <c:fmtId val="13"/>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solidFill>
                  <a:schemeClr val="bg1"/>
                </a:solidFill>
              </a:rPr>
              <a:t>Tire wise section amount</a:t>
            </a:r>
          </a:p>
        </c:rich>
      </c:tx>
      <c:layout>
        <c:manualLayout>
          <c:xMode val="edge"/>
          <c:yMode val="edge"/>
          <c:x val="0.14545611097255376"/>
          <c:y val="1.7391304347826087E-2"/>
        </c:manualLayout>
      </c:layout>
      <c:overlay val="0"/>
      <c:spPr>
        <a:solidFill>
          <a:schemeClr val="accent1">
            <a:lumMod val="50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'Clint Requied KPIs'!$B$3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'Clint Requied KPIs'!$A$4:$A$7</c:f>
              <c:strCache>
                <c:ptCount val="3"/>
                <c:pt idx="0">
                  <c:v>Tire 1 Prime</c:v>
                </c:pt>
                <c:pt idx="1">
                  <c:v>Tire 2 Standerd</c:v>
                </c:pt>
                <c:pt idx="2">
                  <c:v>Tire 3 Subprime</c:v>
                </c:pt>
              </c:strCache>
            </c:strRef>
          </c:cat>
          <c:val>
            <c:numRef>
              <c:f>'Clint Requied KPIs'!$B$4:$B$7</c:f>
              <c:numCache>
                <c:formatCode>General</c:formatCode>
                <c:ptCount val="3"/>
                <c:pt idx="0">
                  <c:v>8750000</c:v>
                </c:pt>
                <c:pt idx="1">
                  <c:v>1480000</c:v>
                </c:pt>
                <c:pt idx="2">
                  <c:v>270000</c:v>
                </c:pt>
              </c:numCache>
            </c:numRef>
          </c:val>
          <c:extLst>
            <c:ext xmlns:c16="http://schemas.microsoft.com/office/drawing/2014/chart" uri="{C3380CC4-5D6E-409C-BE32-E72D297353CC}">
              <c16:uniqueId val="{00000000-0C91-46EF-86E2-AB5BF7ED4303}"/>
            </c:ext>
          </c:extLst>
        </c:ser>
        <c:dLbls>
          <c:dLblPos val="outEnd"/>
          <c:showLegendKey val="0"/>
          <c:showVal val="1"/>
          <c:showCatName val="0"/>
          <c:showSerName val="0"/>
          <c:showPercent val="0"/>
          <c:showBubbleSize val="0"/>
        </c:dLbls>
        <c:gapWidth val="267"/>
        <c:overlap val="-43"/>
        <c:axId val="777864847"/>
        <c:axId val="777874415"/>
      </c:barChart>
      <c:catAx>
        <c:axId val="77786484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accent1">
                    <a:lumMod val="50000"/>
                  </a:schemeClr>
                </a:solidFill>
                <a:latin typeface="+mn-lt"/>
                <a:ea typeface="+mn-ea"/>
                <a:cs typeface="+mn-cs"/>
              </a:defRPr>
            </a:pPr>
            <a:endParaRPr lang="en-US"/>
          </a:p>
        </c:txPr>
        <c:crossAx val="777874415"/>
        <c:crosses val="autoZero"/>
        <c:auto val="1"/>
        <c:lblAlgn val="ctr"/>
        <c:lblOffset val="100"/>
        <c:noMultiLvlLbl val="0"/>
      </c:catAx>
      <c:valAx>
        <c:axId val="77787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7786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 on excel.xlsx]Clint Requied KPIs!AVG TAT</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AVG TAT</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3329A84D-464E-4AC9-A621-1374095F6EE0}" type="VALUE">
                  <a:rPr lang="en-US" b="1">
                    <a:solidFill>
                      <a:schemeClr val="bg1"/>
                    </a:solidFill>
                  </a:rPr>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8C31B9DB-2369-4754-954F-5818C410EDFE}" type="VALUE">
                  <a:rPr lang="en-US">
                    <a:solidFill>
                      <a:schemeClr val="bg1"/>
                    </a:solidFill>
                  </a:rPr>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8C31B9DB-2369-4754-954F-5818C410EDFE}" type="VALUE">
                  <a:rPr lang="en-US">
                    <a:solidFill>
                      <a:schemeClr val="bg1"/>
                    </a:solidFill>
                  </a:rPr>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3329A84D-464E-4AC9-A621-1374095F6EE0}" type="VALUE">
                  <a:rPr lang="en-US" b="1">
                    <a:solidFill>
                      <a:schemeClr val="bg1"/>
                    </a:solidFill>
                  </a:rPr>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pivotFmt>
      <c:pivotFmt>
        <c:idx val="12"/>
        <c:spPr>
          <a:solidFill>
            <a:schemeClr val="accent1">
              <a:lumMod val="50000"/>
            </a:schemeClr>
          </a:solidFill>
          <a:ln>
            <a:noFill/>
          </a:ln>
          <a:effectLst/>
        </c:spPr>
      </c:pivotFmt>
      <c:pivotFmt>
        <c:idx val="13"/>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8C31B9DB-2369-4754-954F-5818C410EDFE}" type="VALUE">
                  <a:rPr lang="en-US" b="1">
                    <a:solidFill>
                      <a:schemeClr val="bg1"/>
                    </a:solidFill>
                  </a:rPr>
                  <a:pPr>
                    <a:defRPr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fld id="{3329A84D-464E-4AC9-A621-1374095F6EE0}" type="VALUE">
                  <a:rPr lang="en-US" b="1">
                    <a:solidFill>
                      <a:schemeClr val="bg1"/>
                    </a:solidFill>
                  </a:rPr>
                  <a:pPr>
                    <a:defRPr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'Clint Requied KPIs'!$E$3</c:f>
              <c:strCache>
                <c:ptCount val="1"/>
                <c:pt idx="0">
                  <c:v>Total</c:v>
                </c:pt>
              </c:strCache>
            </c:strRef>
          </c:tx>
          <c:spPr>
            <a:solidFill>
              <a:schemeClr val="accent1">
                <a:lumMod val="50000"/>
              </a:schemeClr>
            </a:solidFill>
            <a:ln>
              <a:noFill/>
            </a:ln>
            <a:effectLst/>
          </c:spPr>
          <c:invertIfNegative val="0"/>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4350-4E29-93A2-3CA5EE457EE4}"/>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3-4350-4E29-93A2-3CA5EE457EE4}"/>
              </c:ext>
            </c:extLst>
          </c:dPt>
          <c:dLbls>
            <c:dLbl>
              <c:idx val="2"/>
              <c:tx>
                <c:rich>
                  <a:bodyPr/>
                  <a:lstStyle/>
                  <a:p>
                    <a:fld id="{8C31B9DB-2369-4754-954F-5818C410EDFE}" type="VALUE">
                      <a:rPr lang="en-US"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350-4E29-93A2-3CA5EE457EE4}"/>
                </c:ext>
              </c:extLst>
            </c:dLbl>
            <c:dLbl>
              <c:idx val="3"/>
              <c:tx>
                <c:rich>
                  <a:bodyPr/>
                  <a:lstStyle/>
                  <a:p>
                    <a:fld id="{3329A84D-464E-4AC9-A621-1374095F6EE0}" type="VALUE">
                      <a:rPr lang="en-US"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50-4E29-93A2-3CA5EE457E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'Clint Requied KPIs'!$D$4:$D$8</c:f>
              <c:strCache>
                <c:ptCount val="4"/>
                <c:pt idx="0">
                  <c:v>BRANCH</c:v>
                </c:pt>
                <c:pt idx="1">
                  <c:v>DSA</c:v>
                </c:pt>
                <c:pt idx="2">
                  <c:v>ONLINE</c:v>
                </c:pt>
                <c:pt idx="3">
                  <c:v>TELE- SALSE</c:v>
                </c:pt>
              </c:strCache>
            </c:strRef>
          </c:cat>
          <c:val>
            <c:numRef>
              <c:f>'Clint Requied KPIs'!$E$4:$E$8</c:f>
              <c:numCache>
                <c:formatCode>0.00</c:formatCode>
                <c:ptCount val="4"/>
                <c:pt idx="0">
                  <c:v>2.1538461538461537</c:v>
                </c:pt>
                <c:pt idx="1">
                  <c:v>1.9166666666666667</c:v>
                </c:pt>
                <c:pt idx="2">
                  <c:v>1.0769230769230769</c:v>
                </c:pt>
                <c:pt idx="3">
                  <c:v>4.666666666666667</c:v>
                </c:pt>
              </c:numCache>
            </c:numRef>
          </c:val>
          <c:extLst>
            <c:ext xmlns:c16="http://schemas.microsoft.com/office/drawing/2014/chart" uri="{C3380CC4-5D6E-409C-BE32-E72D297353CC}">
              <c16:uniqueId val="{00000004-4350-4E29-93A2-3CA5EE457EE4}"/>
            </c:ext>
          </c:extLst>
        </c:ser>
        <c:dLbls>
          <c:dLblPos val="inEnd"/>
          <c:showLegendKey val="0"/>
          <c:showVal val="1"/>
          <c:showCatName val="0"/>
          <c:showSerName val="0"/>
          <c:showPercent val="0"/>
          <c:showBubbleSize val="0"/>
        </c:dLbls>
        <c:gapWidth val="182"/>
        <c:axId val="833067215"/>
        <c:axId val="833067631"/>
      </c:barChart>
      <c:catAx>
        <c:axId val="83306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33067631"/>
        <c:crosses val="autoZero"/>
        <c:auto val="1"/>
        <c:lblAlgn val="ctr"/>
        <c:lblOffset val="100"/>
        <c:noMultiLvlLbl val="0"/>
      </c:catAx>
      <c:valAx>
        <c:axId val="833067631"/>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6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 on excel.xlsx]Clint Requied KPIs!Chennel wise section amount</c:name>
    <c:fmtId val="23"/>
  </c:pivotSource>
  <c:chart>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a:solidFill>
                  <a:schemeClr val="bg1"/>
                </a:solidFill>
              </a:rPr>
              <a:t>Chennel wise section amount</a:t>
            </a:r>
          </a:p>
        </c:rich>
      </c:tx>
      <c:overlay val="0"/>
      <c:spPr>
        <a:solidFill>
          <a:schemeClr val="accent1">
            <a:lumMod val="50000"/>
          </a:schemeClr>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'Clint Requied KPIs'!$K$3</c:f>
              <c:strCache>
                <c:ptCount val="1"/>
                <c:pt idx="0">
                  <c:v>Total</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'Clint Requied KPIs'!$J$4:$J$8</c:f>
              <c:strCache>
                <c:ptCount val="4"/>
                <c:pt idx="0">
                  <c:v>BRANCH</c:v>
                </c:pt>
                <c:pt idx="1">
                  <c:v>DSA</c:v>
                </c:pt>
                <c:pt idx="2">
                  <c:v>ONLINE</c:v>
                </c:pt>
                <c:pt idx="3">
                  <c:v>TELE- SALSE</c:v>
                </c:pt>
              </c:strCache>
            </c:strRef>
          </c:cat>
          <c:val>
            <c:numRef>
              <c:f>'Clint Requied KPIs'!$K$4:$K$8</c:f>
              <c:numCache>
                <c:formatCode>General</c:formatCode>
                <c:ptCount val="4"/>
                <c:pt idx="0">
                  <c:v>1900000</c:v>
                </c:pt>
                <c:pt idx="1">
                  <c:v>2580000</c:v>
                </c:pt>
                <c:pt idx="2">
                  <c:v>6020000</c:v>
                </c:pt>
                <c:pt idx="3">
                  <c:v>0</c:v>
                </c:pt>
              </c:numCache>
            </c:numRef>
          </c:val>
          <c:smooth val="0"/>
          <c:extLst>
            <c:ext xmlns:c16="http://schemas.microsoft.com/office/drawing/2014/chart" uri="{C3380CC4-5D6E-409C-BE32-E72D297353CC}">
              <c16:uniqueId val="{00000000-1D1B-41FB-AB71-70B5188387F1}"/>
            </c:ext>
          </c:extLst>
        </c:ser>
        <c:dLbls>
          <c:dLblPos val="ctr"/>
          <c:showLegendKey val="0"/>
          <c:showVal val="1"/>
          <c:showCatName val="0"/>
          <c:showSerName val="0"/>
          <c:showPercent val="0"/>
          <c:showBubbleSize val="0"/>
        </c:dLbls>
        <c:marker val="1"/>
        <c:smooth val="0"/>
        <c:axId val="833048911"/>
        <c:axId val="833070543"/>
      </c:lineChart>
      <c:catAx>
        <c:axId val="833048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0543"/>
        <c:crosses val="autoZero"/>
        <c:auto val="1"/>
        <c:lblAlgn val="ctr"/>
        <c:lblOffset val="100"/>
        <c:noMultiLvlLbl val="0"/>
      </c:catAx>
      <c:valAx>
        <c:axId val="83307054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3304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205740</xdr:colOff>
      <xdr:row>1</xdr:row>
      <xdr:rowOff>22860</xdr:rowOff>
    </xdr:from>
    <xdr:to>
      <xdr:col>18</xdr:col>
      <xdr:colOff>419100</xdr:colOff>
      <xdr:row>26</xdr:row>
      <xdr:rowOff>106680</xdr:rowOff>
    </xdr:to>
    <xdr:sp macro="" textlink="">
      <xdr:nvSpPr>
        <xdr:cNvPr id="2" name="Rectangle: Rounded Corners 1">
          <a:extLst>
            <a:ext uri="{FF2B5EF4-FFF2-40B4-BE49-F238E27FC236}">
              <a16:creationId xmlns:a16="http://schemas.microsoft.com/office/drawing/2014/main" id="{B8242AC8-DD2A-4255-8FB5-C9DFD79B8D97}"/>
            </a:ext>
          </a:extLst>
        </xdr:cNvPr>
        <xdr:cNvSpPr/>
      </xdr:nvSpPr>
      <xdr:spPr>
        <a:xfrm>
          <a:off x="1424940" y="205740"/>
          <a:ext cx="9966960" cy="4655820"/>
        </a:xfrm>
        <a:prstGeom prst="roundRect">
          <a:avLst>
            <a:gd name="adj" fmla="val 6192"/>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304800</xdr:colOff>
      <xdr:row>1</xdr:row>
      <xdr:rowOff>175260</xdr:rowOff>
    </xdr:from>
    <xdr:to>
      <xdr:col>7</xdr:col>
      <xdr:colOff>129540</xdr:colOff>
      <xdr:row>12</xdr:row>
      <xdr:rowOff>152400</xdr:rowOff>
    </xdr:to>
    <xdr:sp macro="" textlink="">
      <xdr:nvSpPr>
        <xdr:cNvPr id="3" name="Rectangle 2">
          <a:extLst>
            <a:ext uri="{FF2B5EF4-FFF2-40B4-BE49-F238E27FC236}">
              <a16:creationId xmlns:a16="http://schemas.microsoft.com/office/drawing/2014/main" id="{E7B786D2-129A-4F6B-A16B-F794D7D42C9E}"/>
            </a:ext>
          </a:extLst>
        </xdr:cNvPr>
        <xdr:cNvSpPr/>
      </xdr:nvSpPr>
      <xdr:spPr>
        <a:xfrm>
          <a:off x="1524000" y="358140"/>
          <a:ext cx="2872740" cy="1988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2</xdr:row>
      <xdr:rowOff>38100</xdr:rowOff>
    </xdr:from>
    <xdr:to>
      <xdr:col>7</xdr:col>
      <xdr:colOff>15240</xdr:colOff>
      <xdr:row>12</xdr:row>
      <xdr:rowOff>106680</xdr:rowOff>
    </xdr:to>
    <xdr:graphicFrame macro="">
      <xdr:nvGraphicFramePr>
        <xdr:cNvPr id="4" name="Chart 3">
          <a:extLst>
            <a:ext uri="{FF2B5EF4-FFF2-40B4-BE49-F238E27FC236}">
              <a16:creationId xmlns:a16="http://schemas.microsoft.com/office/drawing/2014/main" id="{DF45A832-7343-4C00-957A-B8EAF2B6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2</xdr:row>
      <xdr:rowOff>15240</xdr:rowOff>
    </xdr:from>
    <xdr:to>
      <xdr:col>13</xdr:col>
      <xdr:colOff>129540</xdr:colOff>
      <xdr:row>12</xdr:row>
      <xdr:rowOff>175260</xdr:rowOff>
    </xdr:to>
    <xdr:sp macro="" textlink="">
      <xdr:nvSpPr>
        <xdr:cNvPr id="5" name="Rectangle 4">
          <a:extLst>
            <a:ext uri="{FF2B5EF4-FFF2-40B4-BE49-F238E27FC236}">
              <a16:creationId xmlns:a16="http://schemas.microsoft.com/office/drawing/2014/main" id="{5AE1BDA7-FFDB-4E92-B82D-E976567B4014}"/>
            </a:ext>
          </a:extLst>
        </xdr:cNvPr>
        <xdr:cNvSpPr/>
      </xdr:nvSpPr>
      <xdr:spPr>
        <a:xfrm>
          <a:off x="4572000" y="381000"/>
          <a:ext cx="3482340" cy="1988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396240</xdr:colOff>
      <xdr:row>2</xdr:row>
      <xdr:rowOff>53340</xdr:rowOff>
    </xdr:from>
    <xdr:to>
      <xdr:col>13</xdr:col>
      <xdr:colOff>38100</xdr:colOff>
      <xdr:row>12</xdr:row>
      <xdr:rowOff>106680</xdr:rowOff>
    </xdr:to>
    <xdr:graphicFrame macro="">
      <xdr:nvGraphicFramePr>
        <xdr:cNvPr id="6" name="Chart 5">
          <a:extLst>
            <a:ext uri="{FF2B5EF4-FFF2-40B4-BE49-F238E27FC236}">
              <a16:creationId xmlns:a16="http://schemas.microsoft.com/office/drawing/2014/main" id="{82130662-0FA3-4536-92FD-D0B6E952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198120</xdr:colOff>
      <xdr:row>2</xdr:row>
      <xdr:rowOff>30480</xdr:rowOff>
    </xdr:from>
    <xdr:to>
      <xdr:col>18</xdr:col>
      <xdr:colOff>312420</xdr:colOff>
      <xdr:row>13</xdr:row>
      <xdr:rowOff>7620</xdr:rowOff>
    </xdr:to>
    <xdr:sp macro="" textlink="">
      <xdr:nvSpPr>
        <xdr:cNvPr id="7" name="Rectangle 6">
          <a:extLst>
            <a:ext uri="{FF2B5EF4-FFF2-40B4-BE49-F238E27FC236}">
              <a16:creationId xmlns:a16="http://schemas.microsoft.com/office/drawing/2014/main" id="{BF78BA3F-CD9C-4CD8-9050-B168FE667CB6}"/>
            </a:ext>
          </a:extLst>
        </xdr:cNvPr>
        <xdr:cNvSpPr/>
      </xdr:nvSpPr>
      <xdr:spPr>
        <a:xfrm>
          <a:off x="8122920" y="396240"/>
          <a:ext cx="3162300" cy="1988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220980</xdr:colOff>
      <xdr:row>2</xdr:row>
      <xdr:rowOff>106680</xdr:rowOff>
    </xdr:from>
    <xdr:to>
      <xdr:col>18</xdr:col>
      <xdr:colOff>243840</xdr:colOff>
      <xdr:row>12</xdr:row>
      <xdr:rowOff>121920</xdr:rowOff>
    </xdr:to>
    <xdr:graphicFrame macro="">
      <xdr:nvGraphicFramePr>
        <xdr:cNvPr id="8" name="Chart 7">
          <a:extLst>
            <a:ext uri="{FF2B5EF4-FFF2-40B4-BE49-F238E27FC236}">
              <a16:creationId xmlns:a16="http://schemas.microsoft.com/office/drawing/2014/main" id="{D29F7371-8801-4FC9-A135-165BF23BC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327660</xdr:colOff>
      <xdr:row>13</xdr:row>
      <xdr:rowOff>76200</xdr:rowOff>
    </xdr:from>
    <xdr:to>
      <xdr:col>8</xdr:col>
      <xdr:colOff>342900</xdr:colOff>
      <xdr:row>25</xdr:row>
      <xdr:rowOff>144780</xdr:rowOff>
    </xdr:to>
    <xdr:sp macro="" textlink="">
      <xdr:nvSpPr>
        <xdr:cNvPr id="9" name="Rectangle 8">
          <a:extLst>
            <a:ext uri="{FF2B5EF4-FFF2-40B4-BE49-F238E27FC236}">
              <a16:creationId xmlns:a16="http://schemas.microsoft.com/office/drawing/2014/main" id="{00179583-5FA6-40BF-B0DD-EBFD8A912F77}"/>
            </a:ext>
          </a:extLst>
        </xdr:cNvPr>
        <xdr:cNvSpPr/>
      </xdr:nvSpPr>
      <xdr:spPr>
        <a:xfrm>
          <a:off x="1546860" y="2453640"/>
          <a:ext cx="3672840" cy="2263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472440</xdr:colOff>
      <xdr:row>13</xdr:row>
      <xdr:rowOff>91440</xdr:rowOff>
    </xdr:from>
    <xdr:to>
      <xdr:col>14</xdr:col>
      <xdr:colOff>190500</xdr:colOff>
      <xdr:row>25</xdr:row>
      <xdr:rowOff>160020</xdr:rowOff>
    </xdr:to>
    <xdr:sp macro="" textlink="">
      <xdr:nvSpPr>
        <xdr:cNvPr id="11" name="Rectangle 10">
          <a:extLst>
            <a:ext uri="{FF2B5EF4-FFF2-40B4-BE49-F238E27FC236}">
              <a16:creationId xmlns:a16="http://schemas.microsoft.com/office/drawing/2014/main" id="{FDF7B0F4-BE67-4E2B-B70E-75DD3BA133D1}"/>
            </a:ext>
          </a:extLst>
        </xdr:cNvPr>
        <xdr:cNvSpPr/>
      </xdr:nvSpPr>
      <xdr:spPr>
        <a:xfrm>
          <a:off x="5349240" y="2468880"/>
          <a:ext cx="3375660" cy="2263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312420</xdr:colOff>
      <xdr:row>13</xdr:row>
      <xdr:rowOff>106680</xdr:rowOff>
    </xdr:from>
    <xdr:to>
      <xdr:col>18</xdr:col>
      <xdr:colOff>297180</xdr:colOff>
      <xdr:row>25</xdr:row>
      <xdr:rowOff>175260</xdr:rowOff>
    </xdr:to>
    <xdr:sp macro="" textlink="">
      <xdr:nvSpPr>
        <xdr:cNvPr id="13" name="Rectangle 12">
          <a:extLst>
            <a:ext uri="{FF2B5EF4-FFF2-40B4-BE49-F238E27FC236}">
              <a16:creationId xmlns:a16="http://schemas.microsoft.com/office/drawing/2014/main" id="{A8E05C68-5C7D-4156-A4EE-16C65B7CD406}"/>
            </a:ext>
          </a:extLst>
        </xdr:cNvPr>
        <xdr:cNvSpPr/>
      </xdr:nvSpPr>
      <xdr:spPr>
        <a:xfrm>
          <a:off x="8846820" y="2484120"/>
          <a:ext cx="2423160" cy="2263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1</xdr:row>
      <xdr:rowOff>121920</xdr:rowOff>
    </xdr:from>
    <xdr:to>
      <xdr:col>22</xdr:col>
      <xdr:colOff>243840</xdr:colOff>
      <xdr:row>16</xdr:row>
      <xdr:rowOff>60960</xdr:rowOff>
    </xdr:to>
    <xdr:sp macro="" textlink="">
      <xdr:nvSpPr>
        <xdr:cNvPr id="15" name="Rectangle: Rounded Corners 14">
          <a:extLst>
            <a:ext uri="{FF2B5EF4-FFF2-40B4-BE49-F238E27FC236}">
              <a16:creationId xmlns:a16="http://schemas.microsoft.com/office/drawing/2014/main" id="{FB489A61-B82E-4926-A06C-E8F632BF89CF}"/>
            </a:ext>
          </a:extLst>
        </xdr:cNvPr>
        <xdr:cNvSpPr/>
      </xdr:nvSpPr>
      <xdr:spPr>
        <a:xfrm>
          <a:off x="11582400" y="304800"/>
          <a:ext cx="2072640" cy="268224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121920</xdr:colOff>
      <xdr:row>2</xdr:row>
      <xdr:rowOff>38100</xdr:rowOff>
    </xdr:from>
    <xdr:to>
      <xdr:col>22</xdr:col>
      <xdr:colOff>152400</xdr:colOff>
      <xdr:row>7</xdr:row>
      <xdr:rowOff>129540</xdr:rowOff>
    </xdr:to>
    <xdr:sp macro="" textlink="">
      <xdr:nvSpPr>
        <xdr:cNvPr id="16" name="Rectangle: Rounded Corners 15">
          <a:extLst>
            <a:ext uri="{FF2B5EF4-FFF2-40B4-BE49-F238E27FC236}">
              <a16:creationId xmlns:a16="http://schemas.microsoft.com/office/drawing/2014/main" id="{9768F16B-4202-442A-892B-39B9A64F7F82}"/>
            </a:ext>
          </a:extLst>
        </xdr:cNvPr>
        <xdr:cNvSpPr/>
      </xdr:nvSpPr>
      <xdr:spPr>
        <a:xfrm>
          <a:off x="11704320" y="403860"/>
          <a:ext cx="1859280" cy="10058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228600</xdr:colOff>
      <xdr:row>2</xdr:row>
      <xdr:rowOff>83820</xdr:rowOff>
    </xdr:from>
    <xdr:to>
      <xdr:col>22</xdr:col>
      <xdr:colOff>68580</xdr:colOff>
      <xdr:row>7</xdr:row>
      <xdr:rowOff>83820</xdr:rowOff>
    </xdr:to>
    <mc:AlternateContent xmlns:mc="http://schemas.openxmlformats.org/markup-compatibility/2006" xmlns:a14="http://schemas.microsoft.com/office/drawing/2010/main">
      <mc:Choice Requires="a14">
        <xdr:graphicFrame macro="">
          <xdr:nvGraphicFramePr>
            <xdr:cNvPr id="17" name="SLA Status">
              <a:extLst>
                <a:ext uri="{FF2B5EF4-FFF2-40B4-BE49-F238E27FC236}">
                  <a16:creationId xmlns:a16="http://schemas.microsoft.com/office/drawing/2014/main" id="{3310904B-3348-4AEC-B692-44FBB1D43965}"/>
                </a:ext>
              </a:extLst>
            </xdr:cNvPr>
            <xdr:cNvGraphicFramePr/>
          </xdr:nvGraphicFramePr>
          <xdr:xfrm>
            <a:off x="0" y="0"/>
            <a:ext cx="0" cy="0"/>
          </xdr:xfrm>
          <a:graphic>
            <a:graphicData uri="http://schemas.microsoft.com/office/drawing/2010/slicer">
              <sle:slicer xmlns:sle="http://schemas.microsoft.com/office/drawing/2010/slicer" name="SLA Status"/>
            </a:graphicData>
          </a:graphic>
        </xdr:graphicFrame>
      </mc:Choice>
      <mc:Fallback xmlns="">
        <xdr:sp macro="" textlink="">
          <xdr:nvSpPr>
            <xdr:cNvPr id="0" name=""/>
            <xdr:cNvSpPr>
              <a:spLocks noTextEdit="1"/>
            </xdr:cNvSpPr>
          </xdr:nvSpPr>
          <xdr:spPr>
            <a:xfrm>
              <a:off x="11811000" y="449580"/>
              <a:ext cx="16687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91440</xdr:colOff>
      <xdr:row>8</xdr:row>
      <xdr:rowOff>45720</xdr:rowOff>
    </xdr:from>
    <xdr:to>
      <xdr:col>22</xdr:col>
      <xdr:colOff>121920</xdr:colOff>
      <xdr:row>15</xdr:row>
      <xdr:rowOff>30480</xdr:rowOff>
    </xdr:to>
    <xdr:sp macro="" textlink="">
      <xdr:nvSpPr>
        <xdr:cNvPr id="18" name="Rectangle: Rounded Corners 17">
          <a:extLst>
            <a:ext uri="{FF2B5EF4-FFF2-40B4-BE49-F238E27FC236}">
              <a16:creationId xmlns:a16="http://schemas.microsoft.com/office/drawing/2014/main" id="{EEE8218A-215B-4B4A-966F-890E1B3D012C}"/>
            </a:ext>
          </a:extLst>
        </xdr:cNvPr>
        <xdr:cNvSpPr/>
      </xdr:nvSpPr>
      <xdr:spPr>
        <a:xfrm>
          <a:off x="11673840" y="1508760"/>
          <a:ext cx="1859280" cy="1264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205740</xdr:colOff>
      <xdr:row>8</xdr:row>
      <xdr:rowOff>106681</xdr:rowOff>
    </xdr:from>
    <xdr:to>
      <xdr:col>21</xdr:col>
      <xdr:colOff>594360</xdr:colOff>
      <xdr:row>14</xdr:row>
      <xdr:rowOff>144780</xdr:rowOff>
    </xdr:to>
    <mc:AlternateContent xmlns:mc="http://schemas.openxmlformats.org/markup-compatibility/2006" xmlns:a14="http://schemas.microsoft.com/office/drawing/2010/main">
      <mc:Choice Requires="a14">
        <xdr:graphicFrame macro="">
          <xdr:nvGraphicFramePr>
            <xdr:cNvPr id="19" name="Risk Band">
              <a:extLst>
                <a:ext uri="{FF2B5EF4-FFF2-40B4-BE49-F238E27FC236}">
                  <a16:creationId xmlns:a16="http://schemas.microsoft.com/office/drawing/2014/main" id="{A0C6CB4C-AF20-4314-9C39-F9EC6DF0D524}"/>
                </a:ext>
              </a:extLst>
            </xdr:cNvPr>
            <xdr:cNvGraphicFramePr/>
          </xdr:nvGraphicFramePr>
          <xdr:xfrm>
            <a:off x="0" y="0"/>
            <a:ext cx="0" cy="0"/>
          </xdr:xfrm>
          <a:graphic>
            <a:graphicData uri="http://schemas.microsoft.com/office/drawing/2010/slicer">
              <sle:slicer xmlns:sle="http://schemas.microsoft.com/office/drawing/2010/slicer" name="Risk Band"/>
            </a:graphicData>
          </a:graphic>
        </xdr:graphicFrame>
      </mc:Choice>
      <mc:Fallback xmlns="">
        <xdr:sp macro="" textlink="">
          <xdr:nvSpPr>
            <xdr:cNvPr id="0" name=""/>
            <xdr:cNvSpPr>
              <a:spLocks noTextEdit="1"/>
            </xdr:cNvSpPr>
          </xdr:nvSpPr>
          <xdr:spPr>
            <a:xfrm>
              <a:off x="11788140" y="1569721"/>
              <a:ext cx="1607820" cy="113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434340</xdr:colOff>
      <xdr:row>13</xdr:row>
      <xdr:rowOff>129540</xdr:rowOff>
    </xdr:from>
    <xdr:to>
      <xdr:col>8</xdr:col>
      <xdr:colOff>259080</xdr:colOff>
      <xdr:row>25</xdr:row>
      <xdr:rowOff>68580</xdr:rowOff>
    </xdr:to>
    <xdr:graphicFrame macro="">
      <xdr:nvGraphicFramePr>
        <xdr:cNvPr id="20" name="Chart 19">
          <a:extLst>
            <a:ext uri="{FF2B5EF4-FFF2-40B4-BE49-F238E27FC236}">
              <a16:creationId xmlns:a16="http://schemas.microsoft.com/office/drawing/2014/main" id="{36D8AEBC-9EC1-4246-A163-9F9A94B4E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510540</xdr:colOff>
      <xdr:row>13</xdr:row>
      <xdr:rowOff>160020</xdr:rowOff>
    </xdr:from>
    <xdr:to>
      <xdr:col>14</xdr:col>
      <xdr:colOff>114300</xdr:colOff>
      <xdr:row>25</xdr:row>
      <xdr:rowOff>83820</xdr:rowOff>
    </xdr:to>
    <xdr:graphicFrame macro="">
      <xdr:nvGraphicFramePr>
        <xdr:cNvPr id="21" name="Chart 20">
          <a:extLst>
            <a:ext uri="{FF2B5EF4-FFF2-40B4-BE49-F238E27FC236}">
              <a16:creationId xmlns:a16="http://schemas.microsoft.com/office/drawing/2014/main" id="{7F71DA34-79CA-4104-8B2C-0AE69C38B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358140</xdr:colOff>
      <xdr:row>14</xdr:row>
      <xdr:rowOff>0</xdr:rowOff>
    </xdr:from>
    <xdr:to>
      <xdr:col>18</xdr:col>
      <xdr:colOff>220980</xdr:colOff>
      <xdr:row>25</xdr:row>
      <xdr:rowOff>83820</xdr:rowOff>
    </xdr:to>
    <xdr:graphicFrame macro="">
      <xdr:nvGraphicFramePr>
        <xdr:cNvPr id="22" name="Chart 21">
          <a:extLst>
            <a:ext uri="{FF2B5EF4-FFF2-40B4-BE49-F238E27FC236}">
              <a16:creationId xmlns:a16="http://schemas.microsoft.com/office/drawing/2014/main" id="{99E553C7-8ECF-49A0-A434-C03C385BF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FULL%20M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xlookup practice sheet"/>
      <sheetName val="sumif and tirm, date formulas"/>
      <sheetName val="Nested formula(if+(AND,OR))"/>
      <sheetName val="Sheet3"/>
      <sheetName val="Sheet5"/>
      <sheetName val="TAT_Tracker"/>
      <sheetName val="Sheet6"/>
      <sheetName val="Sheet4"/>
      <sheetName val="Sheet7"/>
      <sheetName val="FULL MIS"/>
    </sheetNames>
    <sheetDataSet>
      <sheetData sheetId="0"/>
      <sheetData sheetId="1"/>
      <sheetData sheetId="2"/>
      <sheetData sheetId="3"/>
      <sheetData sheetId="4"/>
      <sheetData sheetId="5"/>
      <sheetData sheetId="6"/>
      <sheetData sheetId="7"/>
      <sheetData sheetId="8"/>
      <sheetData sheetId="9"/>
      <sheetData sheetId="10">
        <row r="3">
          <cell r="M3" t="str">
            <v>Rejected</v>
          </cell>
        </row>
      </sheetData>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5.634848263886" createdVersion="7" refreshedVersion="7" minRefreshableVersion="3" recordCount="50" xr:uid="{B058CF17-B193-4A87-B95F-07A3EF778E7E}">
  <cacheSource type="worksheet">
    <worksheetSource name="Table1"/>
  </cacheSource>
  <cacheFields count="11">
    <cacheField name="App ID" numFmtId="0">
      <sharedItems/>
    </cacheField>
    <cacheField name="Customer Name" numFmtId="0">
      <sharedItems/>
    </cacheField>
    <cacheField name="Clean Channel" numFmtId="0">
      <sharedItems count="4">
        <s v="BRANCH"/>
        <s v="ONLINE"/>
        <s v="TELE- SALSE"/>
        <s v="DSA"/>
      </sharedItems>
    </cacheField>
    <cacheField name="CIBIL Score" numFmtId="0">
      <sharedItems containsSemiMixedTypes="0" containsString="0" containsNumber="1" containsInteger="1" minValue="580" maxValue="850"/>
    </cacheField>
    <cacheField name="App Date" numFmtId="14">
      <sharedItems containsSemiMixedTypes="0" containsNonDate="0" containsDate="1" containsString="0" minDate="2026-08-01T00:00:00" maxDate="2026-08-18T00:00:00"/>
    </cacheField>
    <cacheField name="Decision Date" numFmtId="14">
      <sharedItems containsSemiMixedTypes="0" containsNonDate="0" containsDate="1" containsString="0" minDate="2026-08-02T00:00:00" maxDate="2026-08-22T00:00:00"/>
    </cacheField>
    <cacheField name="Sanctioned Limit" numFmtId="0">
      <sharedItems containsSemiMixedTypes="0" containsString="0" containsNumber="1" containsInteger="1" minValue="0" maxValue="800000"/>
    </cacheField>
    <cacheField name="Status" numFmtId="0">
      <sharedItems/>
    </cacheField>
    <cacheField name="TAT DAYS" numFmtId="0">
      <sharedItems containsSemiMixedTypes="0" containsString="0" containsNumber="1" containsInteger="1" minValue="1" maxValue="5"/>
    </cacheField>
    <cacheField name="Risk Band" numFmtId="0">
      <sharedItems count="3">
        <s v="Tire 1 Prime"/>
        <s v="Tire 3 Subprime"/>
        <s v="Tire 2 Standerd"/>
      </sharedItems>
    </cacheField>
    <cacheField name="SLA Status" numFmtId="0">
      <sharedItems count="2">
        <s v="Within SLA"/>
        <s v="SLA Breached"/>
      </sharedItems>
    </cacheField>
  </cacheFields>
  <extLst>
    <ext xmlns:x14="http://schemas.microsoft.com/office/spreadsheetml/2009/9/main" uri="{725AE2AE-9491-48be-B2B4-4EB974FC3084}">
      <x14:pivotCacheDefinition pivotCacheId="1832137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BIC-101"/>
    <s v="Rahul Sharma"/>
    <x v="0"/>
    <n v="780"/>
    <d v="2026-08-01T00:00:00"/>
    <d v="2026-08-02T00:00:00"/>
    <n v="200000"/>
    <s v="Approved"/>
    <n v="1"/>
    <x v="0"/>
    <x v="0"/>
  </r>
  <r>
    <s v="SBIC-102"/>
    <s v="Priya Verma"/>
    <x v="1"/>
    <n v="680"/>
    <d v="2026-08-01T00:00:00"/>
    <d v="2026-08-03T00:00:00"/>
    <n v="150000"/>
    <s v="Approved"/>
    <n v="2"/>
    <x v="1"/>
    <x v="0"/>
  </r>
  <r>
    <s v="SBIC-103"/>
    <s v="Amit Patel"/>
    <x v="2"/>
    <n v="790"/>
    <d v="2026-08-01T00:00:00"/>
    <d v="2026-08-05T00:00:00"/>
    <n v="0"/>
    <s v="Rejected"/>
    <n v="4"/>
    <x v="0"/>
    <x v="1"/>
  </r>
  <r>
    <s v="SBIC-104"/>
    <s v="Sneha Gupta"/>
    <x v="3"/>
    <n v="610"/>
    <d v="2026-08-02T00:00:00"/>
    <d v="2026-08-03T00:00:00"/>
    <n v="0"/>
    <s v="Rejected"/>
    <n v="1"/>
    <x v="1"/>
    <x v="0"/>
  </r>
  <r>
    <s v="SBIC-105"/>
    <s v="Vikram Singh"/>
    <x v="0"/>
    <n v="750"/>
    <d v="2026-08-02T00:00:00"/>
    <d v="2026-08-04T00:00:00"/>
    <n v="300000"/>
    <s v="Approved"/>
    <n v="2"/>
    <x v="0"/>
    <x v="0"/>
  </r>
  <r>
    <s v="SBIC-106"/>
    <s v="Ananya Roy"/>
    <x v="1"/>
    <n v="810"/>
    <d v="2026-08-02T00:00:00"/>
    <d v="2026-08-03T00:00:00"/>
    <n v="500000"/>
    <s v="Approved"/>
    <n v="1"/>
    <x v="0"/>
    <x v="0"/>
  </r>
  <r>
    <s v="SBIC-107"/>
    <s v="Rohan Mehta"/>
    <x v="2"/>
    <n v="640"/>
    <d v="2026-08-03T00:00:00"/>
    <d v="2026-08-07T00:00:00"/>
    <n v="0"/>
    <s v="Rejected"/>
    <n v="4"/>
    <x v="1"/>
    <x v="1"/>
  </r>
  <r>
    <s v="SBIC-108"/>
    <s v="Kavita Rao"/>
    <x v="3"/>
    <n v="720"/>
    <d v="2026-08-03T00:00:00"/>
    <d v="2026-08-05T00:00:00"/>
    <n v="180000"/>
    <s v="Approved"/>
    <n v="2"/>
    <x v="2"/>
    <x v="0"/>
  </r>
  <r>
    <s v="SBIC-109"/>
    <s v="Siddharth Jain"/>
    <x v="0"/>
    <n v="700"/>
    <d v="2026-08-03T00:00:00"/>
    <d v="2026-08-06T00:00:00"/>
    <n v="0"/>
    <s v="Pending"/>
    <n v="3"/>
    <x v="2"/>
    <x v="1"/>
  </r>
  <r>
    <s v="SBIC-110"/>
    <s v="Pooja Hegde"/>
    <x v="1"/>
    <n v="760"/>
    <d v="2026-08-04T00:00:00"/>
    <d v="2026-08-05T00:00:00"/>
    <n v="250000"/>
    <s v="Approved"/>
    <n v="1"/>
    <x v="0"/>
    <x v="0"/>
  </r>
  <r>
    <s v="SBIC-111"/>
    <s v="Manish Pandey"/>
    <x v="2"/>
    <n v="590"/>
    <d v="2026-08-04T00:00:00"/>
    <d v="2026-08-08T00:00:00"/>
    <n v="0"/>
    <s v="Rejected"/>
    <n v="4"/>
    <x v="1"/>
    <x v="1"/>
  </r>
  <r>
    <s v="SBIC-112"/>
    <s v="Neha Sharma"/>
    <x v="3"/>
    <n v="770"/>
    <d v="2026-08-04T00:00:00"/>
    <d v="2026-08-06T00:00:00"/>
    <n v="400000"/>
    <s v="Approved"/>
    <n v="2"/>
    <x v="0"/>
    <x v="0"/>
  </r>
  <r>
    <s v="SBIC-113"/>
    <s v="Deepak Kumar"/>
    <x v="0"/>
    <n v="690"/>
    <d v="2026-08-05T00:00:00"/>
    <d v="2026-08-07T00:00:00"/>
    <n v="120000"/>
    <s v="Approved"/>
    <n v="2"/>
    <x v="1"/>
    <x v="0"/>
  </r>
  <r>
    <s v="SBIC-114"/>
    <s v="Aarti Joshi"/>
    <x v="1"/>
    <n v="820"/>
    <d v="2026-08-05T00:00:00"/>
    <d v="2026-08-06T00:00:00"/>
    <n v="600000"/>
    <s v="Approved"/>
    <n v="1"/>
    <x v="0"/>
    <x v="0"/>
  </r>
  <r>
    <s v="SBIC-115"/>
    <s v="Gaurav Tiwari"/>
    <x v="2"/>
    <n v="630"/>
    <d v="2026-08-05T00:00:00"/>
    <d v="2026-08-10T00:00:00"/>
    <n v="0"/>
    <s v="Rejected"/>
    <n v="5"/>
    <x v="1"/>
    <x v="1"/>
  </r>
  <r>
    <s v="SBIC-116"/>
    <s v="Swati Mishra"/>
    <x v="3"/>
    <n v="740"/>
    <d v="2026-08-06T00:00:00"/>
    <d v="2026-08-08T00:00:00"/>
    <n v="220000"/>
    <s v="Approved"/>
    <n v="2"/>
    <x v="2"/>
    <x v="0"/>
  </r>
  <r>
    <s v="SBIC-117"/>
    <s v="Alok Srivastava"/>
    <x v="0"/>
    <n v="710"/>
    <d v="2026-08-06T00:00:00"/>
    <d v="2026-08-09T00:00:00"/>
    <n v="0"/>
    <s v="Pending"/>
    <n v="3"/>
    <x v="2"/>
    <x v="1"/>
  </r>
  <r>
    <s v="SBIC-118"/>
    <s v="Divya Nair"/>
    <x v="1"/>
    <n v="790"/>
    <d v="2026-08-06T00:00:00"/>
    <d v="2026-08-07T00:00:00"/>
    <n v="350000"/>
    <s v="Approved"/>
    <n v="1"/>
    <x v="0"/>
    <x v="0"/>
  </r>
  <r>
    <s v="SBIC-119"/>
    <s v="Karan Malhotra"/>
    <x v="2"/>
    <n v="670"/>
    <d v="2026-08-07T00:00:00"/>
    <d v="2026-08-11T00:00:00"/>
    <n v="0"/>
    <s v="Rejected"/>
    <n v="4"/>
    <x v="1"/>
    <x v="1"/>
  </r>
  <r>
    <s v="SBIC-120"/>
    <s v="Ritu Saxena"/>
    <x v="3"/>
    <n v="730"/>
    <d v="2026-08-07T00:00:00"/>
    <d v="2026-08-09T00:00:00"/>
    <n v="190000"/>
    <s v="Approved"/>
    <n v="2"/>
    <x v="2"/>
    <x v="0"/>
  </r>
  <r>
    <s v="SBIC-121"/>
    <s v="Suresh Menon"/>
    <x v="0"/>
    <n v="760"/>
    <d v="2026-08-07T00:00:00"/>
    <d v="2026-08-08T00:00:00"/>
    <n v="280000"/>
    <s v="Approved"/>
    <n v="1"/>
    <x v="0"/>
    <x v="0"/>
  </r>
  <r>
    <s v="SBIC-122"/>
    <s v="Meenakshi Sundaram"/>
    <x v="1"/>
    <n v="800"/>
    <d v="2026-08-08T00:00:00"/>
    <d v="2026-08-09T00:00:00"/>
    <n v="450000"/>
    <s v="Approved"/>
    <n v="1"/>
    <x v="0"/>
    <x v="0"/>
  </r>
  <r>
    <s v="SBIC-123"/>
    <s v="Abhishek Yadav"/>
    <x v="2"/>
    <n v="620"/>
    <d v="2026-08-08T00:00:00"/>
    <d v="2026-08-13T00:00:00"/>
    <n v="0"/>
    <s v="Rejected"/>
    <n v="5"/>
    <x v="1"/>
    <x v="1"/>
  </r>
  <r>
    <s v="SBIC-124"/>
    <s v="Poonam Deshmukh"/>
    <x v="3"/>
    <n v="750"/>
    <d v="2026-08-08T00:00:00"/>
    <d v="2026-08-10T00:00:00"/>
    <n v="310000"/>
    <s v="Approved"/>
    <n v="2"/>
    <x v="0"/>
    <x v="0"/>
  </r>
  <r>
    <s v="SBIC-125"/>
    <s v="Nitin Gadkari"/>
    <x v="0"/>
    <n v="680"/>
    <d v="2026-08-09T00:00:00"/>
    <d v="2026-08-12T00:00:00"/>
    <n v="0"/>
    <s v="Pending"/>
    <n v="3"/>
    <x v="1"/>
    <x v="1"/>
  </r>
  <r>
    <s v="SBIC-126"/>
    <s v="Shweta Tripathi"/>
    <x v="1"/>
    <n v="830"/>
    <d v="2026-08-09T00:00:00"/>
    <d v="2026-08-10T00:00:00"/>
    <n v="700000"/>
    <s v="Approved"/>
    <n v="1"/>
    <x v="0"/>
    <x v="0"/>
  </r>
  <r>
    <s v="SBIC-127"/>
    <s v="Varun Dhawan"/>
    <x v="2"/>
    <n v="650"/>
    <d v="2026-08-09T00:00:00"/>
    <d v="2026-08-14T00:00:00"/>
    <n v="0"/>
    <s v="Rejected"/>
    <n v="5"/>
    <x v="1"/>
    <x v="1"/>
  </r>
  <r>
    <s v="SBIC-128"/>
    <s v="Kirti Kulhari"/>
    <x v="3"/>
    <n v="710"/>
    <d v="2026-08-10T00:00:00"/>
    <d v="2026-08-12T00:00:00"/>
    <n v="160000"/>
    <s v="Approved"/>
    <n v="2"/>
    <x v="2"/>
    <x v="0"/>
  </r>
  <r>
    <s v="SBIC-129"/>
    <s v="Rajesh Khanna"/>
    <x v="0"/>
    <n v="770"/>
    <d v="2026-08-10T00:00:00"/>
    <d v="2026-08-11T00:00:00"/>
    <n v="240000"/>
    <s v="Approved"/>
    <n v="1"/>
    <x v="0"/>
    <x v="0"/>
  </r>
  <r>
    <s v="SBIC-130"/>
    <s v="Sushmita Sen"/>
    <x v="1"/>
    <n v="780"/>
    <d v="2026-08-10T00:00:00"/>
    <d v="2026-08-11T00:00:00"/>
    <n v="380000"/>
    <s v="Approved"/>
    <n v="1"/>
    <x v="0"/>
    <x v="0"/>
  </r>
  <r>
    <s v="SBIC-131"/>
    <s v="Manoj Bajpayee"/>
    <x v="2"/>
    <n v="600"/>
    <d v="2026-08-11T00:00:00"/>
    <d v="2026-08-16T00:00:00"/>
    <n v="0"/>
    <s v="Rejected"/>
    <n v="5"/>
    <x v="1"/>
    <x v="1"/>
  </r>
  <r>
    <s v="SBIC-132"/>
    <s v="Yami Gautam"/>
    <x v="3"/>
    <n v="760"/>
    <d v="2026-08-11T00:00:00"/>
    <d v="2026-08-13T00:00:00"/>
    <n v="270000"/>
    <s v="Approved"/>
    <n v="2"/>
    <x v="0"/>
    <x v="0"/>
  </r>
  <r>
    <s v="SBIC-133"/>
    <s v="Pankaj Tripathi"/>
    <x v="0"/>
    <n v="740"/>
    <d v="2026-08-11T00:00:00"/>
    <d v="2026-08-14T00:00:00"/>
    <n v="210000"/>
    <s v="Approved"/>
    <n v="3"/>
    <x v="2"/>
    <x v="1"/>
  </r>
  <r>
    <s v="SBIC-134"/>
    <s v="Radhika Apte"/>
    <x v="1"/>
    <n v="840"/>
    <d v="2026-08-12T00:00:00"/>
    <d v="2026-08-13T00:00:00"/>
    <n v="550000"/>
    <s v="Approved"/>
    <n v="1"/>
    <x v="0"/>
    <x v="0"/>
  </r>
  <r>
    <s v="SBIC-135"/>
    <s v="Nawazuddin Siddiqui"/>
    <x v="2"/>
    <n v="660"/>
    <d v="2026-08-12T00:00:00"/>
    <d v="2026-08-17T00:00:00"/>
    <n v="0"/>
    <s v="Rejected"/>
    <n v="5"/>
    <x v="1"/>
    <x v="1"/>
  </r>
  <r>
    <s v="SBIC-136"/>
    <s v="Taapsee Pannu"/>
    <x v="3"/>
    <n v="720"/>
    <d v="2026-08-12T00:00:00"/>
    <d v="2026-08-14T00:00:00"/>
    <n v="170000"/>
    <s v="Approved"/>
    <n v="2"/>
    <x v="2"/>
    <x v="0"/>
  </r>
  <r>
    <s v="SBIC-137"/>
    <s v="Vidyut Jammwal"/>
    <x v="0"/>
    <n v="700"/>
    <d v="2026-08-13T00:00:00"/>
    <d v="2026-08-16T00:00:00"/>
    <n v="0"/>
    <s v="Pending"/>
    <n v="3"/>
    <x v="2"/>
    <x v="1"/>
  </r>
  <r>
    <s v="SBIC-138"/>
    <s v="Bhumi Pednekar"/>
    <x v="1"/>
    <n v="790"/>
    <d v="2026-08-13T00:00:00"/>
    <d v="2026-08-14T00:00:00"/>
    <n v="420000"/>
    <s v="Approved"/>
    <n v="1"/>
    <x v="0"/>
    <x v="0"/>
  </r>
  <r>
    <s v="SBIC-139"/>
    <s v="Rajkummar Rao"/>
    <x v="2"/>
    <n v="610"/>
    <d v="2026-08-13T00:00:00"/>
    <d v="2026-08-18T00:00:00"/>
    <n v="0"/>
    <s v="Rejected"/>
    <n v="5"/>
    <x v="1"/>
    <x v="1"/>
  </r>
  <r>
    <s v="SBIC-140"/>
    <s v="Sanya Malhotra"/>
    <x v="3"/>
    <n v="770"/>
    <d v="2026-08-14T00:00:00"/>
    <d v="2026-08-16T00:00:00"/>
    <n v="330000"/>
    <s v="Approved"/>
    <n v="2"/>
    <x v="0"/>
    <x v="0"/>
  </r>
  <r>
    <s v="SBIC-141"/>
    <s v="Ayushmann Khurrana"/>
    <x v="0"/>
    <n v="780"/>
    <d v="2026-08-14T00:00:00"/>
    <d v="2026-08-15T00:00:00"/>
    <n v="290000"/>
    <s v="Approved"/>
    <n v="1"/>
    <x v="0"/>
    <x v="0"/>
  </r>
  <r>
    <s v="SBIC-142"/>
    <s v="Fatima Sana"/>
    <x v="1"/>
    <n v="810"/>
    <d v="2026-08-14T00:00:00"/>
    <d v="2026-08-15T00:00:00"/>
    <n v="480000"/>
    <s v="Approved"/>
    <n v="1"/>
    <x v="0"/>
    <x v="0"/>
  </r>
  <r>
    <s v="SBIC-143"/>
    <s v="Vicky Kaushal"/>
    <x v="2"/>
    <n v="640"/>
    <d v="2026-08-15T00:00:00"/>
    <d v="2026-08-20T00:00:00"/>
    <n v="0"/>
    <s v="Rejected"/>
    <n v="5"/>
    <x v="1"/>
    <x v="1"/>
  </r>
  <r>
    <s v="SBIC-144"/>
    <s v="Kriti Sanon"/>
    <x v="3"/>
    <n v="730"/>
    <d v="2026-08-15T00:00:00"/>
    <d v="2026-08-17T00:00:00"/>
    <n v="200000"/>
    <s v="Approved"/>
    <n v="2"/>
    <x v="2"/>
    <x v="0"/>
  </r>
  <r>
    <s v="SBIC-145"/>
    <s v="Kartik Aaryan"/>
    <x v="0"/>
    <n v="750"/>
    <d v="2026-08-15T00:00:00"/>
    <d v="2026-08-17T00:00:00"/>
    <n v="260000"/>
    <s v="Approved"/>
    <n v="2"/>
    <x v="0"/>
    <x v="0"/>
  </r>
  <r>
    <s v="SBIC-146"/>
    <s v="Sara Ali Khan"/>
    <x v="1"/>
    <n v="850"/>
    <d v="2026-08-16T00:00:00"/>
    <d v="2026-08-17T00:00:00"/>
    <n v="800000"/>
    <s v="Approved"/>
    <n v="1"/>
    <x v="0"/>
    <x v="0"/>
  </r>
  <r>
    <s v="SBIC-147"/>
    <s v="Janhvi Kapoor"/>
    <x v="2"/>
    <n v="580"/>
    <d v="2026-08-16T00:00:00"/>
    <d v="2026-08-21T00:00:00"/>
    <n v="0"/>
    <s v="Rejected"/>
    <n v="5"/>
    <x v="1"/>
    <x v="1"/>
  </r>
  <r>
    <s v="SBIC-148"/>
    <s v="Ananya Panday"/>
    <x v="3"/>
    <n v="710"/>
    <d v="2026-08-16T00:00:00"/>
    <d v="2026-08-18T00:00:00"/>
    <n v="150000"/>
    <s v="Approved"/>
    <n v="2"/>
    <x v="2"/>
    <x v="0"/>
  </r>
  <r>
    <s v="SBIC-149"/>
    <s v="Ishan Khatter"/>
    <x v="0"/>
    <n v="690"/>
    <d v="2026-08-17T00:00:00"/>
    <d v="2026-08-20T00:00:00"/>
    <n v="0"/>
    <s v="Pending"/>
    <n v="3"/>
    <x v="1"/>
    <x v="1"/>
  </r>
  <r>
    <s v="SBIC-150"/>
    <s v="Tara Sutaria"/>
    <x v="1"/>
    <n v="800"/>
    <d v="2026-08-17T00:00:00"/>
    <d v="2026-08-18T00:00:00"/>
    <n v="390000"/>
    <s v="Approved"/>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46BB4-CFDD-4D3C-A266-74525401AA68}" name="SLA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G3:H6" firstHeaderRow="1" firstDataRow="1" firstDataCol="1"/>
  <pivotFields count="11">
    <pivotField dataField="1" showAll="0"/>
    <pivotField showAll="0"/>
    <pivotField showAll="0"/>
    <pivotField showAll="0"/>
    <pivotField numFmtId="14" showAll="0"/>
    <pivotField numFmtId="14" showAll="0"/>
    <pivotField showAll="0"/>
    <pivotField showAll="0"/>
    <pivotField showAll="0"/>
    <pivotField showAll="0">
      <items count="4">
        <item x="0"/>
        <item x="2"/>
        <item x="1"/>
        <item t="default"/>
      </items>
    </pivotField>
    <pivotField axis="axisRow" showAll="0">
      <items count="3">
        <item x="1"/>
        <item x="0"/>
        <item t="default"/>
      </items>
    </pivotField>
  </pivotFields>
  <rowFields count="1">
    <field x="10"/>
  </rowFields>
  <rowItems count="3">
    <i>
      <x/>
    </i>
    <i>
      <x v="1"/>
    </i>
    <i t="grand">
      <x/>
    </i>
  </rowItems>
  <colItems count="1">
    <i/>
  </colItems>
  <dataFields count="1">
    <dataField name="Count of App ID" fld="0" subtotal="count" baseField="0" baseItem="0"/>
  </dataFields>
  <formats count="6">
    <format dxfId="22">
      <pivotArea field="10" type="button" dataOnly="0" labelOnly="1" outline="0" axis="axisRow" fieldPosition="0"/>
    </format>
    <format dxfId="21">
      <pivotArea dataOnly="0" labelOnly="1" outline="0" axis="axisValues" fieldPosition="0"/>
    </format>
    <format dxfId="19">
      <pivotArea field="10" type="button" dataOnly="0" labelOnly="1" outline="0" axis="axisRow" fieldPosition="0"/>
    </format>
    <format dxfId="18">
      <pivotArea dataOnly="0" labelOnly="1" outline="0" axis="axisValues" fieldPosition="0"/>
    </format>
    <format dxfId="16">
      <pivotArea dataOnly="0" grandRow="1" fieldPosition="0"/>
    </format>
    <format dxfId="15">
      <pivotArea dataOnly="0" grandRow="1" fieldPosition="0"/>
    </format>
  </formats>
  <chartFormats count="6">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0" count="1" selected="0">
            <x v="0"/>
          </reference>
        </references>
      </pivotArea>
    </chartFormat>
    <chartFormat chart="13" format="6">
      <pivotArea type="data" outline="0" fieldPosition="0">
        <references count="2">
          <reference field="4294967294" count="1" selected="0">
            <x v="0"/>
          </reference>
          <reference field="10"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0" count="1" selected="0">
            <x v="0"/>
          </reference>
        </references>
      </pivotArea>
    </chartFormat>
    <chartFormat chart="14" format="9">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2437E-7AC8-46A8-9AC4-EE480DFBD2AC}" name="Chennel wise section am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J3:K8" firstHeaderRow="1" firstDataRow="1" firstDataCol="1"/>
  <pivotFields count="11">
    <pivotField showAll="0"/>
    <pivotField showAll="0"/>
    <pivotField axis="axisRow" showAll="0">
      <items count="5">
        <item x="0"/>
        <item x="3"/>
        <item x="1"/>
        <item x="2"/>
        <item t="default"/>
      </items>
    </pivotField>
    <pivotField showAll="0"/>
    <pivotField numFmtId="14" showAll="0"/>
    <pivotField numFmtId="14" showAll="0"/>
    <pivotField dataField="1" showAll="0"/>
    <pivotField showAll="0"/>
    <pivotField showAll="0"/>
    <pivotField showAll="0">
      <items count="4">
        <item x="0"/>
        <item x="2"/>
        <item x="1"/>
        <item t="default"/>
      </items>
    </pivotField>
    <pivotField showAll="0">
      <items count="3">
        <item x="1"/>
        <item x="0"/>
        <item t="default"/>
      </items>
    </pivotField>
  </pivotFields>
  <rowFields count="1">
    <field x="2"/>
  </rowFields>
  <rowItems count="5">
    <i>
      <x/>
    </i>
    <i>
      <x v="1"/>
    </i>
    <i>
      <x v="2"/>
    </i>
    <i>
      <x v="3"/>
    </i>
    <i t="grand">
      <x/>
    </i>
  </rowItems>
  <colItems count="1">
    <i/>
  </colItems>
  <dataFields count="1">
    <dataField name="Sum of Sanctioned Limit" fld="6" baseField="0" baseItem="0"/>
  </dataFields>
  <formats count="6">
    <format dxfId="14">
      <pivotArea field="2" type="button" dataOnly="0" labelOnly="1" outline="0" axis="axisRow" fieldPosition="0"/>
    </format>
    <format dxfId="13">
      <pivotArea field="2" type="button" dataOnly="0" labelOnly="1" outline="0" axis="axisRow" fieldPosition="0"/>
    </format>
    <format dxfId="12">
      <pivotArea dataOnly="0" grandRow="1" fieldPosition="0"/>
    </format>
    <format dxfId="11">
      <pivotArea dataOnly="0" grandRow="1" fieldPosition="0"/>
    </format>
    <format dxfId="10">
      <pivotArea dataOnly="0" labelOnly="1" outline="0" axis="axisValues" fieldPosition="0"/>
    </format>
    <format dxfId="8">
      <pivotArea dataOnly="0" labelOnly="1" outline="0" axis="axisValues" fieldPosition="0"/>
    </format>
  </formats>
  <chartFormats count="3">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79FA25-7D6B-4265-BA17-DBD9BAB2D377}" name="Tire wise section am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7" firstHeaderRow="1" firstDataRow="1" firstDataCol="1"/>
  <pivotFields count="11">
    <pivotField showAll="0"/>
    <pivotField showAll="0"/>
    <pivotField showAll="0"/>
    <pivotField showAll="0"/>
    <pivotField numFmtId="14" showAll="0"/>
    <pivotField numFmtId="14" showAll="0"/>
    <pivotField dataField="1" showAll="0"/>
    <pivotField showAll="0"/>
    <pivotField showAll="0"/>
    <pivotField axis="axisRow" showAll="0">
      <items count="4">
        <item x="0"/>
        <item x="2"/>
        <item x="1"/>
        <item t="default"/>
      </items>
    </pivotField>
    <pivotField showAll="0">
      <items count="3">
        <item x="1"/>
        <item x="0"/>
        <item t="default"/>
      </items>
    </pivotField>
  </pivotFields>
  <rowFields count="1">
    <field x="9"/>
  </rowFields>
  <rowItems count="4">
    <i>
      <x/>
    </i>
    <i>
      <x v="1"/>
    </i>
    <i>
      <x v="2"/>
    </i>
    <i t="grand">
      <x/>
    </i>
  </rowItems>
  <colItems count="1">
    <i/>
  </colItems>
  <dataFields count="1">
    <dataField name="Sum of Sanctioned Limit" fld="6" baseField="0" baseItem="0"/>
  </dataFields>
  <formats count="6">
    <format dxfId="38">
      <pivotArea field="9" type="button" dataOnly="0" labelOnly="1" outline="0" axis="axisRow" fieldPosition="0"/>
    </format>
    <format dxfId="37">
      <pivotArea dataOnly="0" labelOnly="1" outline="0" axis="axisValues" fieldPosition="0"/>
    </format>
    <format dxfId="35">
      <pivotArea field="9" type="button" dataOnly="0" labelOnly="1" outline="0" axis="axisRow" fieldPosition="0"/>
    </format>
    <format dxfId="34">
      <pivotArea dataOnly="0" labelOnly="1" outline="0" axis="axisValues" fieldPosition="0"/>
    </format>
    <format dxfId="32">
      <pivotArea dataOnly="0" grandRow="1" fieldPosition="0"/>
    </format>
    <format dxfId="31">
      <pivotArea dataOnly="0" grandRow="1" fieldPosition="0"/>
    </format>
  </formats>
  <chartFormats count="2">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C85CD7-87A6-44D9-AAE1-271C374372CB}" name="AVG TA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E8" firstHeaderRow="1" firstDataRow="1" firstDataCol="1"/>
  <pivotFields count="11">
    <pivotField showAll="0"/>
    <pivotField showAll="0"/>
    <pivotField axis="axisRow" showAll="0">
      <items count="5">
        <item x="0"/>
        <item x="3"/>
        <item x="1"/>
        <item x="2"/>
        <item t="default"/>
      </items>
    </pivotField>
    <pivotField showAll="0"/>
    <pivotField numFmtId="14" showAll="0"/>
    <pivotField numFmtId="14" showAll="0"/>
    <pivotField showAll="0"/>
    <pivotField showAll="0"/>
    <pivotField dataField="1" showAll="0"/>
    <pivotField showAll="0">
      <items count="4">
        <item x="0"/>
        <item x="2"/>
        <item x="1"/>
        <item t="default"/>
      </items>
    </pivotField>
    <pivotField showAll="0">
      <items count="3">
        <item x="1"/>
        <item x="0"/>
        <item t="default"/>
      </items>
    </pivotField>
  </pivotFields>
  <rowFields count="1">
    <field x="2"/>
  </rowFields>
  <rowItems count="5">
    <i>
      <x/>
    </i>
    <i>
      <x v="1"/>
    </i>
    <i>
      <x v="2"/>
    </i>
    <i>
      <x v="3"/>
    </i>
    <i t="grand">
      <x/>
    </i>
  </rowItems>
  <colItems count="1">
    <i/>
  </colItems>
  <dataFields count="1">
    <dataField name="Average of TAT DAYS" fld="8" subtotal="average" baseField="2" baseItem="0"/>
  </dataFields>
  <formats count="7">
    <format dxfId="44">
      <pivotArea collapsedLevelsAreSubtotals="1" fieldPosition="0">
        <references count="1">
          <reference field="2" count="0"/>
        </references>
      </pivotArea>
    </format>
    <format dxfId="30">
      <pivotArea field="2" type="button" dataOnly="0" labelOnly="1" outline="0" axis="axisRow" fieldPosition="0"/>
    </format>
    <format dxfId="29">
      <pivotArea dataOnly="0" labelOnly="1" outline="0" axis="axisValues" fieldPosition="0"/>
    </format>
    <format dxfId="27">
      <pivotArea field="2" type="button" dataOnly="0" labelOnly="1" outline="0" axis="axisRow" fieldPosition="0"/>
    </format>
    <format dxfId="26">
      <pivotArea dataOnly="0" labelOnly="1" outline="0" axis="axisValues" fieldPosition="0"/>
    </format>
    <format dxfId="24">
      <pivotArea dataOnly="0" grandRow="1" fieldPosition="0"/>
    </format>
    <format dxfId="23">
      <pivotArea dataOnly="0" grandRow="1" fieldPosition="0"/>
    </format>
  </format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23E2239B-94C3-450A-A45F-7A1776F374B6}" sourceName="SLA Status">
  <pivotTables>
    <pivotTable tabId="3" name="SLA Status"/>
    <pivotTable tabId="3" name="AVG TAT"/>
    <pivotTable tabId="3" name="Chennel wise section amount"/>
    <pivotTable tabId="3" name="Tire wise section amount"/>
  </pivotTables>
  <data>
    <tabular pivotCacheId="183213730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Band" xr10:uid="{D277EC5F-51DA-472E-96E5-3916238D4502}" sourceName="Risk Band">
  <pivotTables>
    <pivotTable tabId="3" name="AVG TAT"/>
    <pivotTable tabId="3" name="Chennel wise section amount"/>
    <pivotTable tabId="3" name="SLA Status"/>
    <pivotTable tabId="3" name="Tire wise section amount"/>
  </pivotTables>
  <data>
    <tabular pivotCacheId="18321373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A Status" xr10:uid="{15ED3926-2D11-4A5F-88CE-8F09327854D4}" cache="Slicer_SLA_Status" caption="SLA Status" style="SlicerStyleOther2" rowHeight="234950"/>
  <slicer name="Risk Band" xr10:uid="{6DB8DABD-09DD-4696-8506-5AD6DBA2F07C}" cache="Slicer_Risk_Band" caption="Risk Band"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5834E-1E7F-456C-98C7-BF1CCFE4619B}" name="Table1" displayName="Table1" ref="A1:K51" totalsRowShown="0" headerRowDxfId="0" dataDxfId="56">
  <autoFilter ref="A1:K51" xr:uid="{1BFE1AE2-B71B-4B28-AD1F-71572F97A305}"/>
  <tableColumns count="11">
    <tableColumn id="1" xr3:uid="{4509516B-0B95-4FBB-BE13-A97BD7819E06}" name="App ID" dataDxfId="55"/>
    <tableColumn id="2" xr3:uid="{E2E443BB-478D-4925-B22E-98F810698E89}" name="Customer Name" dataDxfId="54"/>
    <tableColumn id="3" xr3:uid="{A8D9CD0D-290A-40A6-9FDC-D00F0E42821D}" name="Clean Channel" dataDxfId="53"/>
    <tableColumn id="4" xr3:uid="{1792432B-80C4-4F77-8E7B-73E9F43FC0D2}" name="CIBIL Score" dataDxfId="52"/>
    <tableColumn id="5" xr3:uid="{E0C55C40-1464-4019-9CF4-30444ADA3200}" name="App Date" dataDxfId="51"/>
    <tableColumn id="6" xr3:uid="{EF26FFB9-A015-41BF-BA47-E6BA694EB52A}" name="Decision Date" dataDxfId="50"/>
    <tableColumn id="7" xr3:uid="{5C0E0FCA-9B77-4FC3-9AEF-5603AEBDA210}" name="Sanctioned Limit" dataDxfId="49"/>
    <tableColumn id="8" xr3:uid="{A800E354-27C8-4F04-92AB-8D37E8846D89}" name="Status" dataDxfId="48"/>
    <tableColumn id="9" xr3:uid="{38D2B009-1922-49FC-8FD9-5E014099DE9A}" name="TAT DAYS" dataDxfId="47">
      <calculatedColumnFormula>Table1[[#This Row],[Decision Date]]-Table1[[#This Row],[App Date]]</calculatedColumnFormula>
    </tableColumn>
    <tableColumn id="10" xr3:uid="{C4815325-A002-4458-B982-A6619A9439A5}" name="Risk Band" dataDxfId="46">
      <calculatedColumnFormula>IF(Table1[[#This Row],[CIBIL Score]]&gt;=750,"Tire 1 Prime",IF(Table1[[#This Row],[CIBIL Score]]&gt;=700,"Tire 2 Standerd","Tire 3 Subprime"))</calculatedColumnFormula>
    </tableColumn>
    <tableColumn id="11" xr3:uid="{98081927-0670-4817-A93C-252C0BCFD1AE}" name="SLA Status" dataDxfId="45">
      <calculatedColumnFormula>IF((Table1[[#This Row],[Decision Date]]-Table1[[#This Row],[App Date]])&lt;=2,"Within SLA","SLA Breached")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D1D64C-E848-4A75-8EC6-68BBF8B9FB78}" name="Table2" displayName="Table2" ref="L8:O12" totalsRowShown="0" dataDxfId="43">
  <autoFilter ref="L8:O12" xr:uid="{76316B8A-772A-4D13-99F8-636C4B51B9F6}"/>
  <tableColumns count="4">
    <tableColumn id="1" xr3:uid="{705DACEB-60EB-4A9D-ABFD-5110F0BCFA5A}" name="Channel" dataDxfId="42"/>
    <tableColumn id="2" xr3:uid="{C8F1C67F-174B-4E3C-806D-A00F1EAD940F}" name="Approved" dataDxfId="41">
      <calculatedColumnFormula>COUNTIFS([1]!Table1[Clean Channel],"",[1]!Table1[Status],"Approved")</calculatedColumnFormula>
    </tableColumn>
    <tableColumn id="3" xr3:uid="{70956452-6B35-4AD7-BB96-837DF77E9E4B}" name="total" dataDxfId="40">
      <calculatedColumnFormula>COUNTIF([1]!Table1[Clean Channel],"BRANCH")</calculatedColumnFormula>
    </tableColumn>
    <tableColumn id="4" xr3:uid="{F22CDDD6-40CA-4CD9-BBDA-D735DD1C9229}" name="Approvel Rate in %" dataDxfId="39" dataCellStyle="Percent">
      <calculatedColumnFormula>M9/N9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F9A01D-0366-4BA7-998A-3C9FAF1147C6}" name="Table5" displayName="Table5" ref="L3:O6" totalsRowShown="0" headerRowDxfId="6" dataDxfId="1">
  <autoFilter ref="L3:O6" xr:uid="{DBE09312-051C-4049-93BF-44F275F365D5}"/>
  <tableColumns count="4">
    <tableColumn id="1" xr3:uid="{36440796-890E-42BD-BC03-88D11BC87A02}" name="Risk Band" dataDxfId="5"/>
    <tableColumn id="2" xr3:uid="{1F4A0EC0-3CBE-40DE-855C-D328470EAD3F}" name="Rejected" dataDxfId="4"/>
    <tableColumn id="3" xr3:uid="{3C67B7F6-4CB8-4DBD-8254-E6EDEC4063B7}" name="Total" dataDxfId="3"/>
    <tableColumn id="4" xr3:uid="{D94F51D7-C14E-48E0-8C32-20945A363FB7}" name="Rejection Rate in %" dataDxfId="2" dataCellStyle="Percent">
      <calculatedColumnFormula>M4/N4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6E80-4D64-439B-A6C0-1F1B5AE64436}">
  <dimension ref="A1:W51"/>
  <sheetViews>
    <sheetView tabSelected="1" workbookViewId="0">
      <selection activeCell="M18" sqref="M18"/>
    </sheetView>
  </sheetViews>
  <sheetFormatPr defaultRowHeight="14.4" x14ac:dyDescent="0.3"/>
  <cols>
    <col min="1" max="1" width="9.109375" customWidth="1"/>
    <col min="2" max="2" width="17" customWidth="1"/>
    <col min="3" max="3" width="14.33203125" customWidth="1"/>
    <col min="4" max="4" width="12.77734375" customWidth="1"/>
    <col min="5" max="5" width="11.21875" customWidth="1"/>
    <col min="6" max="6" width="14.77734375" customWidth="1"/>
    <col min="7" max="7" width="17.44140625" customWidth="1"/>
    <col min="10" max="10" width="13.6640625" bestFit="1" customWidth="1"/>
    <col min="11" max="11" width="12" bestFit="1" customWidth="1"/>
  </cols>
  <sheetData>
    <row r="1" spans="1:23" x14ac:dyDescent="0.3">
      <c r="A1" s="9" t="s">
        <v>0</v>
      </c>
      <c r="B1" s="9" t="s">
        <v>1</v>
      </c>
      <c r="C1" s="9" t="s">
        <v>2</v>
      </c>
      <c r="D1" s="9" t="s">
        <v>3</v>
      </c>
      <c r="E1" s="9" t="s">
        <v>4</v>
      </c>
      <c r="F1" s="9" t="s">
        <v>5</v>
      </c>
      <c r="G1" s="9" t="s">
        <v>6</v>
      </c>
      <c r="H1" s="9" t="s">
        <v>7</v>
      </c>
      <c r="I1" s="9" t="s">
        <v>8</v>
      </c>
      <c r="J1" s="9" t="s">
        <v>9</v>
      </c>
      <c r="K1" s="9" t="s">
        <v>10</v>
      </c>
    </row>
    <row r="2" spans="1:23" x14ac:dyDescent="0.3">
      <c r="A2" s="1" t="s">
        <v>11</v>
      </c>
      <c r="B2" s="1" t="s">
        <v>12</v>
      </c>
      <c r="C2" s="1" t="s">
        <v>13</v>
      </c>
      <c r="D2" s="1">
        <v>780</v>
      </c>
      <c r="E2" s="2">
        <v>46235</v>
      </c>
      <c r="F2" s="2">
        <v>46236</v>
      </c>
      <c r="G2" s="1">
        <v>200000</v>
      </c>
      <c r="H2" s="1" t="s">
        <v>14</v>
      </c>
      <c r="I2" s="1">
        <f>Table1[[#This Row],[Decision Date]]-Table1[[#This Row],[App Date]]</f>
        <v>1</v>
      </c>
      <c r="J2" s="1" t="str">
        <f>IF(Table1[[#This Row],[CIBIL Score]]&gt;=750,"Tire 1 Prime",IF(Table1[[#This Row],[CIBIL Score]]&gt;=700,"Tire 2 Standerd","Tire 3 Subprime"))</f>
        <v>Tire 1 Prime</v>
      </c>
      <c r="K2" s="1" t="str">
        <f>IF((Table1[[#This Row],[Decision Date]]-Table1[[#This Row],[App Date]])&lt;=2,"Within SLA","SLA Breached")</f>
        <v>Within SLA</v>
      </c>
    </row>
    <row r="3" spans="1:23" x14ac:dyDescent="0.3">
      <c r="A3" s="1" t="s">
        <v>15</v>
      </c>
      <c r="B3" s="1" t="s">
        <v>16</v>
      </c>
      <c r="C3" s="1" t="s">
        <v>17</v>
      </c>
      <c r="D3" s="1">
        <v>680</v>
      </c>
      <c r="E3" s="2">
        <v>46235</v>
      </c>
      <c r="F3" s="2">
        <v>46237</v>
      </c>
      <c r="G3" s="1">
        <v>150000</v>
      </c>
      <c r="H3" s="1" t="s">
        <v>14</v>
      </c>
      <c r="I3" s="1">
        <f>Table1[[#This Row],[Decision Date]]-Table1[[#This Row],[App Date]]</f>
        <v>2</v>
      </c>
      <c r="J3" s="1" t="str">
        <f>IF(Table1[[#This Row],[CIBIL Score]]&gt;=750,"Tire 1 Prime",IF(Table1[[#This Row],[CIBIL Score]]&gt;=700,"Tire 2 Standerd","Tire 3 Subprime"))</f>
        <v>Tire 3 Subprime</v>
      </c>
      <c r="K3" s="1" t="str">
        <f>IF((Table1[[#This Row],[Decision Date]]-Table1[[#This Row],[App Date]])&lt;=2,"Within SLA","SLA Breached")</f>
        <v>Within SLA</v>
      </c>
      <c r="M3" s="15" t="s">
        <v>0</v>
      </c>
      <c r="N3" s="16" t="s">
        <v>1</v>
      </c>
      <c r="O3" s="16" t="s">
        <v>2</v>
      </c>
      <c r="P3" s="16" t="s">
        <v>3</v>
      </c>
      <c r="Q3" s="16" t="s">
        <v>4</v>
      </c>
      <c r="R3" s="16" t="s">
        <v>5</v>
      </c>
      <c r="S3" s="16" t="s">
        <v>6</v>
      </c>
      <c r="T3" s="16" t="s">
        <v>7</v>
      </c>
      <c r="U3" s="16" t="s">
        <v>8</v>
      </c>
      <c r="V3" s="16" t="s">
        <v>9</v>
      </c>
      <c r="W3" s="17" t="s">
        <v>10</v>
      </c>
    </row>
    <row r="4" spans="1:23" x14ac:dyDescent="0.3">
      <c r="A4" s="1" t="s">
        <v>18</v>
      </c>
      <c r="B4" s="1" t="s">
        <v>19</v>
      </c>
      <c r="C4" s="1" t="s">
        <v>20</v>
      </c>
      <c r="D4" s="1">
        <v>790</v>
      </c>
      <c r="E4" s="2">
        <v>46235</v>
      </c>
      <c r="F4" s="2">
        <v>46239</v>
      </c>
      <c r="G4" s="1">
        <v>0</v>
      </c>
      <c r="H4" s="1" t="s">
        <v>21</v>
      </c>
      <c r="I4" s="1">
        <f>Table1[[#This Row],[Decision Date]]-Table1[[#This Row],[App Date]]</f>
        <v>4</v>
      </c>
      <c r="J4" s="1" t="str">
        <f>IF(Table1[[#This Row],[CIBIL Score]]&gt;=750,"Tire 1 Prime",IF(Table1[[#This Row],[CIBIL Score]]&gt;=700,"Tire 2 Standerd","Tire 3 Subprime"))</f>
        <v>Tire 1 Prime</v>
      </c>
      <c r="K4" s="1" t="str">
        <f>IF((Table1[[#This Row],[Decision Date]]-Table1[[#This Row],[App Date]])&lt;=2,"Within SLA","SLA Breached")</f>
        <v>SLA Breached</v>
      </c>
      <c r="M4" s="3" t="s">
        <v>22</v>
      </c>
      <c r="N4" t="str">
        <f>INDEX(Table1[],MATCH(M4,Table1[App ID],0),MATCH(N$3,Table1[#Headers],0))</f>
        <v>Vikram Singh</v>
      </c>
      <c r="O4" t="str">
        <f>INDEX(Table1[],MATCH(N4,Table1[Customer Name],0),MATCH(O$3,Table1[#Headers],0))</f>
        <v>BRANCH</v>
      </c>
      <c r="P4">
        <f>INDEX(Table1[],MATCH(O4,Table1[Clean Channel],0),MATCH(P3,Table1[#Headers],0))</f>
        <v>780</v>
      </c>
      <c r="Q4">
        <f>INDEX(Table1[],MATCH(P4,Table1[CIBIL Score],0),MATCH(Q3,Table1[#Headers],0))</f>
        <v>46235</v>
      </c>
      <c r="R4">
        <f>INDEX(Table1[],MATCH(Q4,Table1[App Date],0),MATCH(R3,Table1[#Headers],0))</f>
        <v>46236</v>
      </c>
      <c r="S4">
        <f>INDEX(Table1[],MATCH(R4,Table1[Decision Date],0),MATCH(S3,Table1[#Headers],0))</f>
        <v>200000</v>
      </c>
      <c r="T4" t="str">
        <f>INDEX(Table1[],MATCH(S4,Table1[Sanctioned Limit],0),MATCH(T3,Table1[#Headers],0))</f>
        <v>Approved</v>
      </c>
      <c r="U4">
        <f>INDEX(Table1[],MATCH(T4,Table1[Status],0),MATCH(U3,Table1[#Headers],0))</f>
        <v>1</v>
      </c>
      <c r="V4" t="str">
        <f>INDEX(Table1[],MATCH(U4,Table1[TAT DAYS],0),MATCH(V3,Table1[#Headers],0))</f>
        <v>Tire 1 Prime</v>
      </c>
      <c r="W4" t="str">
        <f>INDEX(Table1[],MATCH(V4,Table1[Risk Band],0),MATCH(W3,Table1[#Headers],0))</f>
        <v>Within SLA</v>
      </c>
    </row>
    <row r="5" spans="1:23" x14ac:dyDescent="0.3">
      <c r="A5" s="1" t="s">
        <v>23</v>
      </c>
      <c r="B5" s="1" t="s">
        <v>24</v>
      </c>
      <c r="C5" s="1" t="s">
        <v>25</v>
      </c>
      <c r="D5" s="1">
        <v>610</v>
      </c>
      <c r="E5" s="2">
        <v>46236</v>
      </c>
      <c r="F5" s="2">
        <v>46237</v>
      </c>
      <c r="G5" s="1">
        <v>0</v>
      </c>
      <c r="H5" s="1" t="s">
        <v>21</v>
      </c>
      <c r="I5" s="1">
        <f>Table1[[#This Row],[Decision Date]]-Table1[[#This Row],[App Date]]</f>
        <v>1</v>
      </c>
      <c r="J5" s="1" t="str">
        <f>IF(Table1[[#This Row],[CIBIL Score]]&gt;=750,"Tire 1 Prime",IF(Table1[[#This Row],[CIBIL Score]]&gt;=700,"Tire 2 Standerd","Tire 3 Subprime"))</f>
        <v>Tire 3 Subprime</v>
      </c>
      <c r="K5" s="1" t="str">
        <f>IF((Table1[[#This Row],[Decision Date]]-Table1[[#This Row],[App Date]])&lt;=2,"Within SLA","SLA Breached")</f>
        <v>Within SLA</v>
      </c>
      <c r="M5" s="1" t="s">
        <v>26</v>
      </c>
      <c r="N5" t="str">
        <f>INDEX(Table1[],MATCH(M5,Table1[App ID],0),MATCH(N$3,Table1[#Headers],0))</f>
        <v>Poonam Deshmukh</v>
      </c>
      <c r="O5" t="str">
        <f>INDEX(Table1[],MATCH(N5,Table1[Customer Name],0),MATCH(O$3,Table1[#Headers],0))</f>
        <v>DSA</v>
      </c>
      <c r="P5">
        <f>INDEX(Table1[],MATCH(O5,Table1[Clean Channel],0),MATCH(P$3,Table1[#Headers],0))</f>
        <v>610</v>
      </c>
      <c r="Q5">
        <f>INDEX(Table1[],MATCH(P5,Table1[CIBIL Score],0),MATCH(Q$3,Table1[#Headers],0))</f>
        <v>46236</v>
      </c>
      <c r="R5">
        <f>INDEX(Table1[],MATCH(Q5,Table1[App Date],0),MATCH(R$3,Table1[#Headers],0))</f>
        <v>46237</v>
      </c>
      <c r="S5">
        <f>INDEX(Table1[],MATCH(R5,Table1[Decision Date],0),MATCH(S$3,Table1[#Headers],0))</f>
        <v>150000</v>
      </c>
      <c r="T5" t="str">
        <f>INDEX(Table1[],MATCH(S5,Table1[Sanctioned Limit],0),MATCH(T$3,Table1[#Headers],0))</f>
        <v>Approved</v>
      </c>
      <c r="U5">
        <f>INDEX(Table1[],MATCH(T5,Table1[Status],0),MATCH(U$3,Table1[#Headers],0))</f>
        <v>1</v>
      </c>
      <c r="V5" t="str">
        <f>INDEX(Table1[],MATCH(U5,Table1[TAT DAYS],0),MATCH(V$3,Table1[#Headers],0))</f>
        <v>Tire 1 Prime</v>
      </c>
      <c r="W5" t="str">
        <f>INDEX(Table1[],MATCH(V5,Table1[Risk Band],0),MATCH(W$3,Table1[#Headers],0))</f>
        <v>Within SLA</v>
      </c>
    </row>
    <row r="6" spans="1:23" x14ac:dyDescent="0.3">
      <c r="A6" s="1" t="s">
        <v>22</v>
      </c>
      <c r="B6" s="1" t="s">
        <v>27</v>
      </c>
      <c r="C6" s="1" t="s">
        <v>13</v>
      </c>
      <c r="D6" s="1">
        <v>750</v>
      </c>
      <c r="E6" s="2">
        <v>46236</v>
      </c>
      <c r="F6" s="2">
        <v>46238</v>
      </c>
      <c r="G6" s="1">
        <v>300000</v>
      </c>
      <c r="H6" s="1" t="s">
        <v>14</v>
      </c>
      <c r="I6" s="1">
        <f>Table1[[#This Row],[Decision Date]]-Table1[[#This Row],[App Date]]</f>
        <v>2</v>
      </c>
      <c r="J6" s="1" t="str">
        <f>IF(Table1[[#This Row],[CIBIL Score]]&gt;=750,"Tire 1 Prime",IF(Table1[[#This Row],[CIBIL Score]]&gt;=700,"Tire 2 Standerd","Tire 3 Subprime"))</f>
        <v>Tire 1 Prime</v>
      </c>
      <c r="K6" s="1" t="str">
        <f>IF((Table1[[#This Row],[Decision Date]]-Table1[[#This Row],[App Date]])&lt;=2,"Within SLA","SLA Breached")</f>
        <v>Within SLA</v>
      </c>
    </row>
    <row r="7" spans="1:23" x14ac:dyDescent="0.3">
      <c r="A7" s="1" t="s">
        <v>28</v>
      </c>
      <c r="B7" s="1" t="s">
        <v>29</v>
      </c>
      <c r="C7" s="1" t="s">
        <v>17</v>
      </c>
      <c r="D7" s="1">
        <v>810</v>
      </c>
      <c r="E7" s="2">
        <v>46236</v>
      </c>
      <c r="F7" s="2">
        <v>46237</v>
      </c>
      <c r="G7" s="1">
        <v>500000</v>
      </c>
      <c r="H7" s="1" t="s">
        <v>14</v>
      </c>
      <c r="I7" s="1">
        <f>Table1[[#This Row],[Decision Date]]-Table1[[#This Row],[App Date]]</f>
        <v>1</v>
      </c>
      <c r="J7" s="1" t="str">
        <f>IF(Table1[[#This Row],[CIBIL Score]]&gt;=750,"Tire 1 Prime",IF(Table1[[#This Row],[CIBIL Score]]&gt;=700,"Tire 2 Standerd","Tire 3 Subprime"))</f>
        <v>Tire 1 Prime</v>
      </c>
      <c r="K7" s="1" t="str">
        <f>IF((Table1[[#This Row],[Decision Date]]-Table1[[#This Row],[App Date]])&lt;=2,"Within SLA","SLA Breached")</f>
        <v>Within SLA</v>
      </c>
    </row>
    <row r="8" spans="1:23" x14ac:dyDescent="0.3">
      <c r="A8" s="1" t="s">
        <v>30</v>
      </c>
      <c r="B8" s="1" t="s">
        <v>31</v>
      </c>
      <c r="C8" s="1" t="s">
        <v>20</v>
      </c>
      <c r="D8" s="1">
        <v>640</v>
      </c>
      <c r="E8" s="2">
        <v>46237</v>
      </c>
      <c r="F8" s="2">
        <v>46241</v>
      </c>
      <c r="G8" s="1">
        <v>0</v>
      </c>
      <c r="H8" s="1" t="s">
        <v>21</v>
      </c>
      <c r="I8" s="1">
        <f>Table1[[#This Row],[Decision Date]]-Table1[[#This Row],[App Date]]</f>
        <v>4</v>
      </c>
      <c r="J8" s="1" t="str">
        <f>IF(Table1[[#This Row],[CIBIL Score]]&gt;=750,"Tire 1 Prime",IF(Table1[[#This Row],[CIBIL Score]]&gt;=700,"Tire 2 Standerd","Tire 3 Subprime"))</f>
        <v>Tire 3 Subprime</v>
      </c>
      <c r="K8" s="1" t="str">
        <f>IF((Table1[[#This Row],[Decision Date]]-Table1[[#This Row],[App Date]])&lt;=2,"Within SLA","SLA Breached")</f>
        <v>SLA Breached</v>
      </c>
    </row>
    <row r="9" spans="1:23" x14ac:dyDescent="0.3">
      <c r="A9" s="1" t="s">
        <v>32</v>
      </c>
      <c r="B9" s="1" t="s">
        <v>33</v>
      </c>
      <c r="C9" s="1" t="s">
        <v>25</v>
      </c>
      <c r="D9" s="1">
        <v>720</v>
      </c>
      <c r="E9" s="2">
        <v>46237</v>
      </c>
      <c r="F9" s="2">
        <v>46239</v>
      </c>
      <c r="G9" s="1">
        <v>180000</v>
      </c>
      <c r="H9" s="1" t="s">
        <v>14</v>
      </c>
      <c r="I9" s="1">
        <f>Table1[[#This Row],[Decision Date]]-Table1[[#This Row],[App Date]]</f>
        <v>2</v>
      </c>
      <c r="J9" s="1" t="str">
        <f>IF(Table1[[#This Row],[CIBIL Score]]&gt;=750,"Tire 1 Prime",IF(Table1[[#This Row],[CIBIL Score]]&gt;=700,"Tire 2 Standerd","Tire 3 Subprime"))</f>
        <v>Tire 2 Standerd</v>
      </c>
      <c r="K9" s="1" t="str">
        <f>IF((Table1[[#This Row],[Decision Date]]-Table1[[#This Row],[App Date]])&lt;=2,"Within SLA","SLA Breached")</f>
        <v>Within SLA</v>
      </c>
    </row>
    <row r="10" spans="1:23" x14ac:dyDescent="0.3">
      <c r="A10" s="1" t="s">
        <v>34</v>
      </c>
      <c r="B10" s="1" t="s">
        <v>35</v>
      </c>
      <c r="C10" s="1" t="s">
        <v>13</v>
      </c>
      <c r="D10" s="1">
        <v>700</v>
      </c>
      <c r="E10" s="2">
        <v>46237</v>
      </c>
      <c r="F10" s="2">
        <v>46240</v>
      </c>
      <c r="G10" s="1">
        <v>0</v>
      </c>
      <c r="H10" s="1" t="s">
        <v>36</v>
      </c>
      <c r="I10" s="1">
        <f>Table1[[#This Row],[Decision Date]]-Table1[[#This Row],[App Date]]</f>
        <v>3</v>
      </c>
      <c r="J10" s="1" t="str">
        <f>IF(Table1[[#This Row],[CIBIL Score]]&gt;=750,"Tire 1 Prime",IF(Table1[[#This Row],[CIBIL Score]]&gt;=700,"Tire 2 Standerd","Tire 3 Subprime"))</f>
        <v>Tire 2 Standerd</v>
      </c>
      <c r="K10" s="1" t="str">
        <f>IF((Table1[[#This Row],[Decision Date]]-Table1[[#This Row],[App Date]])&lt;=2,"Within SLA","SLA Breached")</f>
        <v>SLA Breached</v>
      </c>
    </row>
    <row r="11" spans="1:23" x14ac:dyDescent="0.3">
      <c r="A11" s="1" t="s">
        <v>37</v>
      </c>
      <c r="B11" s="1" t="s">
        <v>38</v>
      </c>
      <c r="C11" s="1" t="s">
        <v>17</v>
      </c>
      <c r="D11" s="1">
        <v>760</v>
      </c>
      <c r="E11" s="2">
        <v>46238</v>
      </c>
      <c r="F11" s="2">
        <v>46239</v>
      </c>
      <c r="G11" s="1">
        <v>250000</v>
      </c>
      <c r="H11" s="1" t="s">
        <v>14</v>
      </c>
      <c r="I11" s="1">
        <f>Table1[[#This Row],[Decision Date]]-Table1[[#This Row],[App Date]]</f>
        <v>1</v>
      </c>
      <c r="J11" s="1" t="str">
        <f>IF(Table1[[#This Row],[CIBIL Score]]&gt;=750,"Tire 1 Prime",IF(Table1[[#This Row],[CIBIL Score]]&gt;=700,"Tire 2 Standerd","Tire 3 Subprime"))</f>
        <v>Tire 1 Prime</v>
      </c>
      <c r="K11" s="1" t="str">
        <f>IF((Table1[[#This Row],[Decision Date]]-Table1[[#This Row],[App Date]])&lt;=2,"Within SLA","SLA Breached")</f>
        <v>Within SLA</v>
      </c>
    </row>
    <row r="12" spans="1:23" x14ac:dyDescent="0.3">
      <c r="A12" s="1" t="s">
        <v>39</v>
      </c>
      <c r="B12" s="1" t="s">
        <v>40</v>
      </c>
      <c r="C12" s="1" t="s">
        <v>20</v>
      </c>
      <c r="D12" s="1">
        <v>590</v>
      </c>
      <c r="E12" s="2">
        <v>46238</v>
      </c>
      <c r="F12" s="2">
        <v>46242</v>
      </c>
      <c r="G12" s="1">
        <v>0</v>
      </c>
      <c r="H12" s="1" t="s">
        <v>21</v>
      </c>
      <c r="I12" s="1">
        <f>Table1[[#This Row],[Decision Date]]-Table1[[#This Row],[App Date]]</f>
        <v>4</v>
      </c>
      <c r="J12" s="1" t="str">
        <f>IF(Table1[[#This Row],[CIBIL Score]]&gt;=750,"Tire 1 Prime",IF(Table1[[#This Row],[CIBIL Score]]&gt;=700,"Tire 2 Standerd","Tire 3 Subprime"))</f>
        <v>Tire 3 Subprime</v>
      </c>
      <c r="K12" s="1" t="str">
        <f>IF((Table1[[#This Row],[Decision Date]]-Table1[[#This Row],[App Date]])&lt;=2,"Within SLA","SLA Breached")</f>
        <v>SLA Breached</v>
      </c>
    </row>
    <row r="13" spans="1:23" x14ac:dyDescent="0.3">
      <c r="A13" s="1" t="s">
        <v>41</v>
      </c>
      <c r="B13" s="1" t="s">
        <v>42</v>
      </c>
      <c r="C13" s="1" t="s">
        <v>25</v>
      </c>
      <c r="D13" s="1">
        <v>770</v>
      </c>
      <c r="E13" s="2">
        <v>46238</v>
      </c>
      <c r="F13" s="2">
        <v>46240</v>
      </c>
      <c r="G13" s="1">
        <v>400000</v>
      </c>
      <c r="H13" s="1" t="s">
        <v>14</v>
      </c>
      <c r="I13" s="1">
        <f>Table1[[#This Row],[Decision Date]]-Table1[[#This Row],[App Date]]</f>
        <v>2</v>
      </c>
      <c r="J13" s="1" t="str">
        <f>IF(Table1[[#This Row],[CIBIL Score]]&gt;=750,"Tire 1 Prime",IF(Table1[[#This Row],[CIBIL Score]]&gt;=700,"Tire 2 Standerd","Tire 3 Subprime"))</f>
        <v>Tire 1 Prime</v>
      </c>
      <c r="K13" s="1" t="str">
        <f>IF((Table1[[#This Row],[Decision Date]]-Table1[[#This Row],[App Date]])&lt;=2,"Within SLA","SLA Breached")</f>
        <v>Within SLA</v>
      </c>
    </row>
    <row r="14" spans="1:23" x14ac:dyDescent="0.3">
      <c r="A14" s="1" t="s">
        <v>43</v>
      </c>
      <c r="B14" s="1" t="s">
        <v>44</v>
      </c>
      <c r="C14" s="1" t="s">
        <v>13</v>
      </c>
      <c r="D14" s="1">
        <v>690</v>
      </c>
      <c r="E14" s="2">
        <v>46239</v>
      </c>
      <c r="F14" s="2">
        <v>46241</v>
      </c>
      <c r="G14" s="1">
        <v>120000</v>
      </c>
      <c r="H14" s="1" t="s">
        <v>14</v>
      </c>
      <c r="I14" s="1">
        <f>Table1[[#This Row],[Decision Date]]-Table1[[#This Row],[App Date]]</f>
        <v>2</v>
      </c>
      <c r="J14" s="1" t="str">
        <f>IF(Table1[[#This Row],[CIBIL Score]]&gt;=750,"Tire 1 Prime",IF(Table1[[#This Row],[CIBIL Score]]&gt;=700,"Tire 2 Standerd","Tire 3 Subprime"))</f>
        <v>Tire 3 Subprime</v>
      </c>
      <c r="K14" s="1" t="str">
        <f>IF((Table1[[#This Row],[Decision Date]]-Table1[[#This Row],[App Date]])&lt;=2,"Within SLA","SLA Breached")</f>
        <v>Within SLA</v>
      </c>
    </row>
    <row r="15" spans="1:23" x14ac:dyDescent="0.3">
      <c r="A15" s="1" t="s">
        <v>45</v>
      </c>
      <c r="B15" s="1" t="s">
        <v>46</v>
      </c>
      <c r="C15" s="1" t="s">
        <v>17</v>
      </c>
      <c r="D15" s="1">
        <v>820</v>
      </c>
      <c r="E15" s="2">
        <v>46239</v>
      </c>
      <c r="F15" s="2">
        <v>46240</v>
      </c>
      <c r="G15" s="1">
        <v>600000</v>
      </c>
      <c r="H15" s="1" t="s">
        <v>14</v>
      </c>
      <c r="I15" s="1">
        <f>Table1[[#This Row],[Decision Date]]-Table1[[#This Row],[App Date]]</f>
        <v>1</v>
      </c>
      <c r="J15" s="1" t="str">
        <f>IF(Table1[[#This Row],[CIBIL Score]]&gt;=750,"Tire 1 Prime",IF(Table1[[#This Row],[CIBIL Score]]&gt;=700,"Tire 2 Standerd","Tire 3 Subprime"))</f>
        <v>Tire 1 Prime</v>
      </c>
      <c r="K15" s="1" t="str">
        <f>IF((Table1[[#This Row],[Decision Date]]-Table1[[#This Row],[App Date]])&lt;=2,"Within SLA","SLA Breached")</f>
        <v>Within SLA</v>
      </c>
    </row>
    <row r="16" spans="1:23" x14ac:dyDescent="0.3">
      <c r="A16" s="1" t="s">
        <v>47</v>
      </c>
      <c r="B16" s="1" t="s">
        <v>48</v>
      </c>
      <c r="C16" s="1" t="s">
        <v>20</v>
      </c>
      <c r="D16" s="1">
        <v>630</v>
      </c>
      <c r="E16" s="2">
        <v>46239</v>
      </c>
      <c r="F16" s="2">
        <v>46244</v>
      </c>
      <c r="G16" s="1">
        <v>0</v>
      </c>
      <c r="H16" s="1" t="s">
        <v>21</v>
      </c>
      <c r="I16" s="1">
        <f>Table1[[#This Row],[Decision Date]]-Table1[[#This Row],[App Date]]</f>
        <v>5</v>
      </c>
      <c r="J16" s="1" t="str">
        <f>IF(Table1[[#This Row],[CIBIL Score]]&gt;=750,"Tire 1 Prime",IF(Table1[[#This Row],[CIBIL Score]]&gt;=700,"Tire 2 Standerd","Tire 3 Subprime"))</f>
        <v>Tire 3 Subprime</v>
      </c>
      <c r="K16" s="1" t="str">
        <f>IF((Table1[[#This Row],[Decision Date]]-Table1[[#This Row],[App Date]])&lt;=2,"Within SLA","SLA Breached")</f>
        <v>SLA Breached</v>
      </c>
    </row>
    <row r="17" spans="1:11" x14ac:dyDescent="0.3">
      <c r="A17" s="1" t="s">
        <v>49</v>
      </c>
      <c r="B17" s="1" t="s">
        <v>50</v>
      </c>
      <c r="C17" s="1" t="s">
        <v>25</v>
      </c>
      <c r="D17" s="1">
        <v>740</v>
      </c>
      <c r="E17" s="2">
        <v>46240</v>
      </c>
      <c r="F17" s="2">
        <v>46242</v>
      </c>
      <c r="G17" s="1">
        <v>220000</v>
      </c>
      <c r="H17" s="1" t="s">
        <v>14</v>
      </c>
      <c r="I17" s="1">
        <f>Table1[[#This Row],[Decision Date]]-Table1[[#This Row],[App Date]]</f>
        <v>2</v>
      </c>
      <c r="J17" s="1" t="str">
        <f>IF(Table1[[#This Row],[CIBIL Score]]&gt;=750,"Tire 1 Prime",IF(Table1[[#This Row],[CIBIL Score]]&gt;=700,"Tire 2 Standerd","Tire 3 Subprime"))</f>
        <v>Tire 2 Standerd</v>
      </c>
      <c r="K17" s="1" t="str">
        <f>IF((Table1[[#This Row],[Decision Date]]-Table1[[#This Row],[App Date]])&lt;=2,"Within SLA","SLA Breached")</f>
        <v>Within SLA</v>
      </c>
    </row>
    <row r="18" spans="1:11" x14ac:dyDescent="0.3">
      <c r="A18" s="1" t="s">
        <v>51</v>
      </c>
      <c r="B18" s="1" t="s">
        <v>52</v>
      </c>
      <c r="C18" s="1" t="s">
        <v>13</v>
      </c>
      <c r="D18" s="1">
        <v>710</v>
      </c>
      <c r="E18" s="2">
        <v>46240</v>
      </c>
      <c r="F18" s="2">
        <v>46243</v>
      </c>
      <c r="G18" s="1">
        <v>0</v>
      </c>
      <c r="H18" s="1" t="s">
        <v>36</v>
      </c>
      <c r="I18" s="1">
        <f>Table1[[#This Row],[Decision Date]]-Table1[[#This Row],[App Date]]</f>
        <v>3</v>
      </c>
      <c r="J18" s="1" t="str">
        <f>IF(Table1[[#This Row],[CIBIL Score]]&gt;=750,"Tire 1 Prime",IF(Table1[[#This Row],[CIBIL Score]]&gt;=700,"Tire 2 Standerd","Tire 3 Subprime"))</f>
        <v>Tire 2 Standerd</v>
      </c>
      <c r="K18" s="1" t="str">
        <f>IF((Table1[[#This Row],[Decision Date]]-Table1[[#This Row],[App Date]])&lt;=2,"Within SLA","SLA Breached")</f>
        <v>SLA Breached</v>
      </c>
    </row>
    <row r="19" spans="1:11" x14ac:dyDescent="0.3">
      <c r="A19" s="1" t="s">
        <v>53</v>
      </c>
      <c r="B19" s="1" t="s">
        <v>54</v>
      </c>
      <c r="C19" s="1" t="s">
        <v>17</v>
      </c>
      <c r="D19" s="1">
        <v>790</v>
      </c>
      <c r="E19" s="2">
        <v>46240</v>
      </c>
      <c r="F19" s="2">
        <v>46241</v>
      </c>
      <c r="G19" s="1">
        <v>350000</v>
      </c>
      <c r="H19" s="1" t="s">
        <v>14</v>
      </c>
      <c r="I19" s="1">
        <f>Table1[[#This Row],[Decision Date]]-Table1[[#This Row],[App Date]]</f>
        <v>1</v>
      </c>
      <c r="J19" s="1" t="str">
        <f>IF(Table1[[#This Row],[CIBIL Score]]&gt;=750,"Tire 1 Prime",IF(Table1[[#This Row],[CIBIL Score]]&gt;=700,"Tire 2 Standerd","Tire 3 Subprime"))</f>
        <v>Tire 1 Prime</v>
      </c>
      <c r="K19" s="1" t="str">
        <f>IF((Table1[[#This Row],[Decision Date]]-Table1[[#This Row],[App Date]])&lt;=2,"Within SLA","SLA Breached")</f>
        <v>Within SLA</v>
      </c>
    </row>
    <row r="20" spans="1:11" x14ac:dyDescent="0.3">
      <c r="A20" s="1" t="s">
        <v>55</v>
      </c>
      <c r="B20" s="1" t="s">
        <v>56</v>
      </c>
      <c r="C20" s="1" t="s">
        <v>20</v>
      </c>
      <c r="D20" s="1">
        <v>670</v>
      </c>
      <c r="E20" s="2">
        <v>46241</v>
      </c>
      <c r="F20" s="2">
        <v>46245</v>
      </c>
      <c r="G20" s="1">
        <v>0</v>
      </c>
      <c r="H20" s="1" t="s">
        <v>21</v>
      </c>
      <c r="I20" s="1">
        <f>Table1[[#This Row],[Decision Date]]-Table1[[#This Row],[App Date]]</f>
        <v>4</v>
      </c>
      <c r="J20" s="1" t="str">
        <f>IF(Table1[[#This Row],[CIBIL Score]]&gt;=750,"Tire 1 Prime",IF(Table1[[#This Row],[CIBIL Score]]&gt;=700,"Tire 2 Standerd","Tire 3 Subprime"))</f>
        <v>Tire 3 Subprime</v>
      </c>
      <c r="K20" s="1" t="str">
        <f>IF((Table1[[#This Row],[Decision Date]]-Table1[[#This Row],[App Date]])&lt;=2,"Within SLA","SLA Breached")</f>
        <v>SLA Breached</v>
      </c>
    </row>
    <row r="21" spans="1:11" x14ac:dyDescent="0.3">
      <c r="A21" s="1" t="s">
        <v>57</v>
      </c>
      <c r="B21" s="1" t="s">
        <v>58</v>
      </c>
      <c r="C21" s="1" t="s">
        <v>25</v>
      </c>
      <c r="D21" s="1">
        <v>730</v>
      </c>
      <c r="E21" s="2">
        <v>46241</v>
      </c>
      <c r="F21" s="2">
        <v>46243</v>
      </c>
      <c r="G21" s="1">
        <v>190000</v>
      </c>
      <c r="H21" s="1" t="s">
        <v>14</v>
      </c>
      <c r="I21" s="1">
        <f>Table1[[#This Row],[Decision Date]]-Table1[[#This Row],[App Date]]</f>
        <v>2</v>
      </c>
      <c r="J21" s="1" t="str">
        <f>IF(Table1[[#This Row],[CIBIL Score]]&gt;=750,"Tire 1 Prime",IF(Table1[[#This Row],[CIBIL Score]]&gt;=700,"Tire 2 Standerd","Tire 3 Subprime"))</f>
        <v>Tire 2 Standerd</v>
      </c>
      <c r="K21" s="1" t="str">
        <f>IF((Table1[[#This Row],[Decision Date]]-Table1[[#This Row],[App Date]])&lt;=2,"Within SLA","SLA Breached")</f>
        <v>Within SLA</v>
      </c>
    </row>
    <row r="22" spans="1:11" x14ac:dyDescent="0.3">
      <c r="A22" s="1" t="s">
        <v>59</v>
      </c>
      <c r="B22" s="1" t="s">
        <v>60</v>
      </c>
      <c r="C22" s="1" t="s">
        <v>13</v>
      </c>
      <c r="D22" s="1">
        <v>760</v>
      </c>
      <c r="E22" s="2">
        <v>46241</v>
      </c>
      <c r="F22" s="2">
        <v>46242</v>
      </c>
      <c r="G22" s="1">
        <v>280000</v>
      </c>
      <c r="H22" s="1" t="s">
        <v>14</v>
      </c>
      <c r="I22" s="1">
        <f>Table1[[#This Row],[Decision Date]]-Table1[[#This Row],[App Date]]</f>
        <v>1</v>
      </c>
      <c r="J22" s="1" t="str">
        <f>IF(Table1[[#This Row],[CIBIL Score]]&gt;=750,"Tire 1 Prime",IF(Table1[[#This Row],[CIBIL Score]]&gt;=700,"Tire 2 Standerd","Tire 3 Subprime"))</f>
        <v>Tire 1 Prime</v>
      </c>
      <c r="K22" s="1" t="str">
        <f>IF((Table1[[#This Row],[Decision Date]]-Table1[[#This Row],[App Date]])&lt;=2,"Within SLA","SLA Breached")</f>
        <v>Within SLA</v>
      </c>
    </row>
    <row r="23" spans="1:11" x14ac:dyDescent="0.3">
      <c r="A23" s="1" t="s">
        <v>61</v>
      </c>
      <c r="B23" s="1" t="s">
        <v>62</v>
      </c>
      <c r="C23" s="1" t="s">
        <v>17</v>
      </c>
      <c r="D23" s="1">
        <v>800</v>
      </c>
      <c r="E23" s="2">
        <v>46242</v>
      </c>
      <c r="F23" s="2">
        <v>46243</v>
      </c>
      <c r="G23" s="1">
        <v>450000</v>
      </c>
      <c r="H23" s="1" t="s">
        <v>14</v>
      </c>
      <c r="I23" s="1">
        <f>Table1[[#This Row],[Decision Date]]-Table1[[#This Row],[App Date]]</f>
        <v>1</v>
      </c>
      <c r="J23" s="1" t="str">
        <f>IF(Table1[[#This Row],[CIBIL Score]]&gt;=750,"Tire 1 Prime",IF(Table1[[#This Row],[CIBIL Score]]&gt;=700,"Tire 2 Standerd","Tire 3 Subprime"))</f>
        <v>Tire 1 Prime</v>
      </c>
      <c r="K23" s="1" t="str">
        <f>IF((Table1[[#This Row],[Decision Date]]-Table1[[#This Row],[App Date]])&lt;=2,"Within SLA","SLA Breached")</f>
        <v>Within SLA</v>
      </c>
    </row>
    <row r="24" spans="1:11" x14ac:dyDescent="0.3">
      <c r="A24" s="1" t="s">
        <v>63</v>
      </c>
      <c r="B24" s="1" t="s">
        <v>64</v>
      </c>
      <c r="C24" s="1" t="s">
        <v>20</v>
      </c>
      <c r="D24" s="1">
        <v>620</v>
      </c>
      <c r="E24" s="2">
        <v>46242</v>
      </c>
      <c r="F24" s="2">
        <v>46247</v>
      </c>
      <c r="G24" s="1">
        <v>0</v>
      </c>
      <c r="H24" s="1" t="s">
        <v>21</v>
      </c>
      <c r="I24" s="1">
        <f>Table1[[#This Row],[Decision Date]]-Table1[[#This Row],[App Date]]</f>
        <v>5</v>
      </c>
      <c r="J24" s="1" t="str">
        <f>IF(Table1[[#This Row],[CIBIL Score]]&gt;=750,"Tire 1 Prime",IF(Table1[[#This Row],[CIBIL Score]]&gt;=700,"Tire 2 Standerd","Tire 3 Subprime"))</f>
        <v>Tire 3 Subprime</v>
      </c>
      <c r="K24" s="1" t="str">
        <f>IF((Table1[[#This Row],[Decision Date]]-Table1[[#This Row],[App Date]])&lt;=2,"Within SLA","SLA Breached")</f>
        <v>SLA Breached</v>
      </c>
    </row>
    <row r="25" spans="1:11" x14ac:dyDescent="0.3">
      <c r="A25" s="1" t="s">
        <v>26</v>
      </c>
      <c r="B25" s="1" t="s">
        <v>65</v>
      </c>
      <c r="C25" s="1" t="s">
        <v>25</v>
      </c>
      <c r="D25" s="1">
        <v>750</v>
      </c>
      <c r="E25" s="2">
        <v>46242</v>
      </c>
      <c r="F25" s="2">
        <v>46244</v>
      </c>
      <c r="G25" s="1">
        <v>310000</v>
      </c>
      <c r="H25" s="1" t="s">
        <v>14</v>
      </c>
      <c r="I25" s="1">
        <f>Table1[[#This Row],[Decision Date]]-Table1[[#This Row],[App Date]]</f>
        <v>2</v>
      </c>
      <c r="J25" s="1" t="str">
        <f>IF(Table1[[#This Row],[CIBIL Score]]&gt;=750,"Tire 1 Prime",IF(Table1[[#This Row],[CIBIL Score]]&gt;=700,"Tire 2 Standerd","Tire 3 Subprime"))</f>
        <v>Tire 1 Prime</v>
      </c>
      <c r="K25" s="1" t="str">
        <f>IF((Table1[[#This Row],[Decision Date]]-Table1[[#This Row],[App Date]])&lt;=2,"Within SLA","SLA Breached")</f>
        <v>Within SLA</v>
      </c>
    </row>
    <row r="26" spans="1:11" x14ac:dyDescent="0.3">
      <c r="A26" s="1" t="s">
        <v>66</v>
      </c>
      <c r="B26" s="1" t="s">
        <v>67</v>
      </c>
      <c r="C26" s="1" t="s">
        <v>13</v>
      </c>
      <c r="D26" s="1">
        <v>680</v>
      </c>
      <c r="E26" s="2">
        <v>46243</v>
      </c>
      <c r="F26" s="2">
        <v>46246</v>
      </c>
      <c r="G26" s="1">
        <v>0</v>
      </c>
      <c r="H26" s="1" t="s">
        <v>36</v>
      </c>
      <c r="I26" s="1">
        <f>Table1[[#This Row],[Decision Date]]-Table1[[#This Row],[App Date]]</f>
        <v>3</v>
      </c>
      <c r="J26" s="1" t="str">
        <f>IF(Table1[[#This Row],[CIBIL Score]]&gt;=750,"Tire 1 Prime",IF(Table1[[#This Row],[CIBIL Score]]&gt;=700,"Tire 2 Standerd","Tire 3 Subprime"))</f>
        <v>Tire 3 Subprime</v>
      </c>
      <c r="K26" s="1" t="str">
        <f>IF((Table1[[#This Row],[Decision Date]]-Table1[[#This Row],[App Date]])&lt;=2,"Within SLA","SLA Breached")</f>
        <v>SLA Breached</v>
      </c>
    </row>
    <row r="27" spans="1:11" x14ac:dyDescent="0.3">
      <c r="A27" s="1" t="s">
        <v>68</v>
      </c>
      <c r="B27" s="1" t="s">
        <v>69</v>
      </c>
      <c r="C27" s="1" t="s">
        <v>17</v>
      </c>
      <c r="D27" s="1">
        <v>830</v>
      </c>
      <c r="E27" s="2">
        <v>46243</v>
      </c>
      <c r="F27" s="2">
        <v>46244</v>
      </c>
      <c r="G27" s="1">
        <v>700000</v>
      </c>
      <c r="H27" s="1" t="s">
        <v>14</v>
      </c>
      <c r="I27" s="1">
        <f>Table1[[#This Row],[Decision Date]]-Table1[[#This Row],[App Date]]</f>
        <v>1</v>
      </c>
      <c r="J27" s="1" t="str">
        <f>IF(Table1[[#This Row],[CIBIL Score]]&gt;=750,"Tire 1 Prime",IF(Table1[[#This Row],[CIBIL Score]]&gt;=700,"Tire 2 Standerd","Tire 3 Subprime"))</f>
        <v>Tire 1 Prime</v>
      </c>
      <c r="K27" s="1" t="str">
        <f>IF((Table1[[#This Row],[Decision Date]]-Table1[[#This Row],[App Date]])&lt;=2,"Within SLA","SLA Breached")</f>
        <v>Within SLA</v>
      </c>
    </row>
    <row r="28" spans="1:11" x14ac:dyDescent="0.3">
      <c r="A28" s="1" t="s">
        <v>70</v>
      </c>
      <c r="B28" s="1" t="s">
        <v>71</v>
      </c>
      <c r="C28" s="1" t="s">
        <v>20</v>
      </c>
      <c r="D28" s="1">
        <v>650</v>
      </c>
      <c r="E28" s="2">
        <v>46243</v>
      </c>
      <c r="F28" s="2">
        <v>46248</v>
      </c>
      <c r="G28" s="1">
        <v>0</v>
      </c>
      <c r="H28" s="1" t="s">
        <v>21</v>
      </c>
      <c r="I28" s="1">
        <f>Table1[[#This Row],[Decision Date]]-Table1[[#This Row],[App Date]]</f>
        <v>5</v>
      </c>
      <c r="J28" s="1" t="str">
        <f>IF(Table1[[#This Row],[CIBIL Score]]&gt;=750,"Tire 1 Prime",IF(Table1[[#This Row],[CIBIL Score]]&gt;=700,"Tire 2 Standerd","Tire 3 Subprime"))</f>
        <v>Tire 3 Subprime</v>
      </c>
      <c r="K28" s="1" t="str">
        <f>IF((Table1[[#This Row],[Decision Date]]-Table1[[#This Row],[App Date]])&lt;=2,"Within SLA","SLA Breached")</f>
        <v>SLA Breached</v>
      </c>
    </row>
    <row r="29" spans="1:11" x14ac:dyDescent="0.3">
      <c r="A29" s="1" t="s">
        <v>72</v>
      </c>
      <c r="B29" s="1" t="s">
        <v>73</v>
      </c>
      <c r="C29" s="1" t="s">
        <v>25</v>
      </c>
      <c r="D29" s="1">
        <v>710</v>
      </c>
      <c r="E29" s="2">
        <v>46244</v>
      </c>
      <c r="F29" s="2">
        <v>46246</v>
      </c>
      <c r="G29" s="1">
        <v>160000</v>
      </c>
      <c r="H29" s="1" t="s">
        <v>14</v>
      </c>
      <c r="I29" s="1">
        <f>Table1[[#This Row],[Decision Date]]-Table1[[#This Row],[App Date]]</f>
        <v>2</v>
      </c>
      <c r="J29" s="1" t="str">
        <f>IF(Table1[[#This Row],[CIBIL Score]]&gt;=750,"Tire 1 Prime",IF(Table1[[#This Row],[CIBIL Score]]&gt;=700,"Tire 2 Standerd","Tire 3 Subprime"))</f>
        <v>Tire 2 Standerd</v>
      </c>
      <c r="K29" s="1" t="str">
        <f>IF((Table1[[#This Row],[Decision Date]]-Table1[[#This Row],[App Date]])&lt;=2,"Within SLA","SLA Breached")</f>
        <v>Within SLA</v>
      </c>
    </row>
    <row r="30" spans="1:11" x14ac:dyDescent="0.3">
      <c r="A30" s="1" t="s">
        <v>74</v>
      </c>
      <c r="B30" s="1" t="s">
        <v>75</v>
      </c>
      <c r="C30" s="1" t="s">
        <v>13</v>
      </c>
      <c r="D30" s="1">
        <v>770</v>
      </c>
      <c r="E30" s="2">
        <v>46244</v>
      </c>
      <c r="F30" s="2">
        <v>46245</v>
      </c>
      <c r="G30" s="1">
        <v>240000</v>
      </c>
      <c r="H30" s="1" t="s">
        <v>14</v>
      </c>
      <c r="I30" s="1">
        <f>Table1[[#This Row],[Decision Date]]-Table1[[#This Row],[App Date]]</f>
        <v>1</v>
      </c>
      <c r="J30" s="1" t="str">
        <f>IF(Table1[[#This Row],[CIBIL Score]]&gt;=750,"Tire 1 Prime",IF(Table1[[#This Row],[CIBIL Score]]&gt;=700,"Tire 2 Standerd","Tire 3 Subprime"))</f>
        <v>Tire 1 Prime</v>
      </c>
      <c r="K30" s="1" t="str">
        <f>IF((Table1[[#This Row],[Decision Date]]-Table1[[#This Row],[App Date]])&lt;=2,"Within SLA","SLA Breached")</f>
        <v>Within SLA</v>
      </c>
    </row>
    <row r="31" spans="1:11" x14ac:dyDescent="0.3">
      <c r="A31" s="1" t="s">
        <v>76</v>
      </c>
      <c r="B31" s="1" t="s">
        <v>77</v>
      </c>
      <c r="C31" s="1" t="s">
        <v>17</v>
      </c>
      <c r="D31" s="1">
        <v>780</v>
      </c>
      <c r="E31" s="2">
        <v>46244</v>
      </c>
      <c r="F31" s="2">
        <v>46245</v>
      </c>
      <c r="G31" s="1">
        <v>380000</v>
      </c>
      <c r="H31" s="1" t="s">
        <v>14</v>
      </c>
      <c r="I31" s="1">
        <f>Table1[[#This Row],[Decision Date]]-Table1[[#This Row],[App Date]]</f>
        <v>1</v>
      </c>
      <c r="J31" s="1" t="str">
        <f>IF(Table1[[#This Row],[CIBIL Score]]&gt;=750,"Tire 1 Prime",IF(Table1[[#This Row],[CIBIL Score]]&gt;=700,"Tire 2 Standerd","Tire 3 Subprime"))</f>
        <v>Tire 1 Prime</v>
      </c>
      <c r="K31" s="1" t="str">
        <f>IF((Table1[[#This Row],[Decision Date]]-Table1[[#This Row],[App Date]])&lt;=2,"Within SLA","SLA Breached")</f>
        <v>Within SLA</v>
      </c>
    </row>
    <row r="32" spans="1:11" x14ac:dyDescent="0.3">
      <c r="A32" s="1" t="s">
        <v>78</v>
      </c>
      <c r="B32" s="1" t="s">
        <v>79</v>
      </c>
      <c r="C32" s="1" t="s">
        <v>20</v>
      </c>
      <c r="D32" s="1">
        <v>600</v>
      </c>
      <c r="E32" s="2">
        <v>46245</v>
      </c>
      <c r="F32" s="2">
        <v>46250</v>
      </c>
      <c r="G32" s="1">
        <v>0</v>
      </c>
      <c r="H32" s="1" t="s">
        <v>21</v>
      </c>
      <c r="I32" s="1">
        <f>Table1[[#This Row],[Decision Date]]-Table1[[#This Row],[App Date]]</f>
        <v>5</v>
      </c>
      <c r="J32" s="1" t="str">
        <f>IF(Table1[[#This Row],[CIBIL Score]]&gt;=750,"Tire 1 Prime",IF(Table1[[#This Row],[CIBIL Score]]&gt;=700,"Tire 2 Standerd","Tire 3 Subprime"))</f>
        <v>Tire 3 Subprime</v>
      </c>
      <c r="K32" s="1" t="str">
        <f>IF((Table1[[#This Row],[Decision Date]]-Table1[[#This Row],[App Date]])&lt;=2,"Within SLA","SLA Breached")</f>
        <v>SLA Breached</v>
      </c>
    </row>
    <row r="33" spans="1:11" x14ac:dyDescent="0.3">
      <c r="A33" s="1" t="s">
        <v>80</v>
      </c>
      <c r="B33" s="1" t="s">
        <v>81</v>
      </c>
      <c r="C33" s="1" t="s">
        <v>25</v>
      </c>
      <c r="D33" s="1">
        <v>760</v>
      </c>
      <c r="E33" s="2">
        <v>46245</v>
      </c>
      <c r="F33" s="2">
        <v>46247</v>
      </c>
      <c r="G33" s="1">
        <v>270000</v>
      </c>
      <c r="H33" s="1" t="s">
        <v>14</v>
      </c>
      <c r="I33" s="1">
        <f>Table1[[#This Row],[Decision Date]]-Table1[[#This Row],[App Date]]</f>
        <v>2</v>
      </c>
      <c r="J33" s="1" t="str">
        <f>IF(Table1[[#This Row],[CIBIL Score]]&gt;=750,"Tire 1 Prime",IF(Table1[[#This Row],[CIBIL Score]]&gt;=700,"Tire 2 Standerd","Tire 3 Subprime"))</f>
        <v>Tire 1 Prime</v>
      </c>
      <c r="K33" s="1" t="str">
        <f>IF((Table1[[#This Row],[Decision Date]]-Table1[[#This Row],[App Date]])&lt;=2,"Within SLA","SLA Breached")</f>
        <v>Within SLA</v>
      </c>
    </row>
    <row r="34" spans="1:11" x14ac:dyDescent="0.3">
      <c r="A34" s="1" t="s">
        <v>82</v>
      </c>
      <c r="B34" s="1" t="s">
        <v>83</v>
      </c>
      <c r="C34" s="1" t="s">
        <v>13</v>
      </c>
      <c r="D34" s="1">
        <v>740</v>
      </c>
      <c r="E34" s="2">
        <v>46245</v>
      </c>
      <c r="F34" s="2">
        <v>46248</v>
      </c>
      <c r="G34" s="1">
        <v>210000</v>
      </c>
      <c r="H34" s="1" t="s">
        <v>14</v>
      </c>
      <c r="I34" s="1">
        <f>Table1[[#This Row],[Decision Date]]-Table1[[#This Row],[App Date]]</f>
        <v>3</v>
      </c>
      <c r="J34" s="1" t="str">
        <f>IF(Table1[[#This Row],[CIBIL Score]]&gt;=750,"Tire 1 Prime",IF(Table1[[#This Row],[CIBIL Score]]&gt;=700,"Tire 2 Standerd","Tire 3 Subprime"))</f>
        <v>Tire 2 Standerd</v>
      </c>
      <c r="K34" s="1" t="str">
        <f>IF((Table1[[#This Row],[Decision Date]]-Table1[[#This Row],[App Date]])&lt;=2,"Within SLA","SLA Breached")</f>
        <v>SLA Breached</v>
      </c>
    </row>
    <row r="35" spans="1:11" x14ac:dyDescent="0.3">
      <c r="A35" s="1" t="s">
        <v>84</v>
      </c>
      <c r="B35" s="1" t="s">
        <v>85</v>
      </c>
      <c r="C35" s="1" t="s">
        <v>17</v>
      </c>
      <c r="D35" s="1">
        <v>840</v>
      </c>
      <c r="E35" s="2">
        <v>46246</v>
      </c>
      <c r="F35" s="2">
        <v>46247</v>
      </c>
      <c r="G35" s="1">
        <v>550000</v>
      </c>
      <c r="H35" s="1" t="s">
        <v>14</v>
      </c>
      <c r="I35" s="1">
        <f>Table1[[#This Row],[Decision Date]]-Table1[[#This Row],[App Date]]</f>
        <v>1</v>
      </c>
      <c r="J35" s="1" t="str">
        <f>IF(Table1[[#This Row],[CIBIL Score]]&gt;=750,"Tire 1 Prime",IF(Table1[[#This Row],[CIBIL Score]]&gt;=700,"Tire 2 Standerd","Tire 3 Subprime"))</f>
        <v>Tire 1 Prime</v>
      </c>
      <c r="K35" s="1" t="str">
        <f>IF((Table1[[#This Row],[Decision Date]]-Table1[[#This Row],[App Date]])&lt;=2,"Within SLA","SLA Breached")</f>
        <v>Within SLA</v>
      </c>
    </row>
    <row r="36" spans="1:11" x14ac:dyDescent="0.3">
      <c r="A36" s="1" t="s">
        <v>86</v>
      </c>
      <c r="B36" s="1" t="s">
        <v>87</v>
      </c>
      <c r="C36" s="1" t="s">
        <v>20</v>
      </c>
      <c r="D36" s="1">
        <v>660</v>
      </c>
      <c r="E36" s="2">
        <v>46246</v>
      </c>
      <c r="F36" s="2">
        <v>46251</v>
      </c>
      <c r="G36" s="1">
        <v>0</v>
      </c>
      <c r="H36" s="1" t="s">
        <v>21</v>
      </c>
      <c r="I36" s="1">
        <f>Table1[[#This Row],[Decision Date]]-Table1[[#This Row],[App Date]]</f>
        <v>5</v>
      </c>
      <c r="J36" s="1" t="str">
        <f>IF(Table1[[#This Row],[CIBIL Score]]&gt;=750,"Tire 1 Prime",IF(Table1[[#This Row],[CIBIL Score]]&gt;=700,"Tire 2 Standerd","Tire 3 Subprime"))</f>
        <v>Tire 3 Subprime</v>
      </c>
      <c r="K36" s="1" t="str">
        <f>IF((Table1[[#This Row],[Decision Date]]-Table1[[#This Row],[App Date]])&lt;=2,"Within SLA","SLA Breached")</f>
        <v>SLA Breached</v>
      </c>
    </row>
    <row r="37" spans="1:11" x14ac:dyDescent="0.3">
      <c r="A37" s="1" t="s">
        <v>88</v>
      </c>
      <c r="B37" s="1" t="s">
        <v>89</v>
      </c>
      <c r="C37" s="1" t="s">
        <v>25</v>
      </c>
      <c r="D37" s="1">
        <v>720</v>
      </c>
      <c r="E37" s="2">
        <v>46246</v>
      </c>
      <c r="F37" s="2">
        <v>46248</v>
      </c>
      <c r="G37" s="1">
        <v>170000</v>
      </c>
      <c r="H37" s="1" t="s">
        <v>14</v>
      </c>
      <c r="I37" s="1">
        <f>Table1[[#This Row],[Decision Date]]-Table1[[#This Row],[App Date]]</f>
        <v>2</v>
      </c>
      <c r="J37" s="1" t="str">
        <f>IF(Table1[[#This Row],[CIBIL Score]]&gt;=750,"Tire 1 Prime",IF(Table1[[#This Row],[CIBIL Score]]&gt;=700,"Tire 2 Standerd","Tire 3 Subprime"))</f>
        <v>Tire 2 Standerd</v>
      </c>
      <c r="K37" s="1" t="str">
        <f>IF((Table1[[#This Row],[Decision Date]]-Table1[[#This Row],[App Date]])&lt;=2,"Within SLA","SLA Breached")</f>
        <v>Within SLA</v>
      </c>
    </row>
    <row r="38" spans="1:11" x14ac:dyDescent="0.3">
      <c r="A38" s="1" t="s">
        <v>90</v>
      </c>
      <c r="B38" s="1" t="s">
        <v>91</v>
      </c>
      <c r="C38" s="1" t="s">
        <v>13</v>
      </c>
      <c r="D38" s="1">
        <v>700</v>
      </c>
      <c r="E38" s="2">
        <v>46247</v>
      </c>
      <c r="F38" s="2">
        <v>46250</v>
      </c>
      <c r="G38" s="1">
        <v>0</v>
      </c>
      <c r="H38" s="1" t="s">
        <v>36</v>
      </c>
      <c r="I38" s="1">
        <f>Table1[[#This Row],[Decision Date]]-Table1[[#This Row],[App Date]]</f>
        <v>3</v>
      </c>
      <c r="J38" s="1" t="str">
        <f>IF(Table1[[#This Row],[CIBIL Score]]&gt;=750,"Tire 1 Prime",IF(Table1[[#This Row],[CIBIL Score]]&gt;=700,"Tire 2 Standerd","Tire 3 Subprime"))</f>
        <v>Tire 2 Standerd</v>
      </c>
      <c r="K38" s="1" t="str">
        <f>IF((Table1[[#This Row],[Decision Date]]-Table1[[#This Row],[App Date]])&lt;=2,"Within SLA","SLA Breached")</f>
        <v>SLA Breached</v>
      </c>
    </row>
    <row r="39" spans="1:11" x14ac:dyDescent="0.3">
      <c r="A39" s="1" t="s">
        <v>92</v>
      </c>
      <c r="B39" s="1" t="s">
        <v>93</v>
      </c>
      <c r="C39" s="1" t="s">
        <v>17</v>
      </c>
      <c r="D39" s="1">
        <v>790</v>
      </c>
      <c r="E39" s="2">
        <v>46247</v>
      </c>
      <c r="F39" s="2">
        <v>46248</v>
      </c>
      <c r="G39" s="1">
        <v>420000</v>
      </c>
      <c r="H39" s="1" t="s">
        <v>14</v>
      </c>
      <c r="I39" s="1">
        <f>Table1[[#This Row],[Decision Date]]-Table1[[#This Row],[App Date]]</f>
        <v>1</v>
      </c>
      <c r="J39" s="1" t="str">
        <f>IF(Table1[[#This Row],[CIBIL Score]]&gt;=750,"Tire 1 Prime",IF(Table1[[#This Row],[CIBIL Score]]&gt;=700,"Tire 2 Standerd","Tire 3 Subprime"))</f>
        <v>Tire 1 Prime</v>
      </c>
      <c r="K39" s="1" t="str">
        <f>IF((Table1[[#This Row],[Decision Date]]-Table1[[#This Row],[App Date]])&lt;=2,"Within SLA","SLA Breached")</f>
        <v>Within SLA</v>
      </c>
    </row>
    <row r="40" spans="1:11" x14ac:dyDescent="0.3">
      <c r="A40" s="1" t="s">
        <v>94</v>
      </c>
      <c r="B40" s="1" t="s">
        <v>95</v>
      </c>
      <c r="C40" s="1" t="s">
        <v>20</v>
      </c>
      <c r="D40" s="1">
        <v>610</v>
      </c>
      <c r="E40" s="2">
        <v>46247</v>
      </c>
      <c r="F40" s="2">
        <v>46252</v>
      </c>
      <c r="G40" s="1">
        <v>0</v>
      </c>
      <c r="H40" s="1" t="s">
        <v>21</v>
      </c>
      <c r="I40" s="1">
        <f>Table1[[#This Row],[Decision Date]]-Table1[[#This Row],[App Date]]</f>
        <v>5</v>
      </c>
      <c r="J40" s="1" t="str">
        <f>IF(Table1[[#This Row],[CIBIL Score]]&gt;=750,"Tire 1 Prime",IF(Table1[[#This Row],[CIBIL Score]]&gt;=700,"Tire 2 Standerd","Tire 3 Subprime"))</f>
        <v>Tire 3 Subprime</v>
      </c>
      <c r="K40" s="1" t="str">
        <f>IF((Table1[[#This Row],[Decision Date]]-Table1[[#This Row],[App Date]])&lt;=2,"Within SLA","SLA Breached")</f>
        <v>SLA Breached</v>
      </c>
    </row>
    <row r="41" spans="1:11" x14ac:dyDescent="0.3">
      <c r="A41" s="1" t="s">
        <v>96</v>
      </c>
      <c r="B41" s="1" t="s">
        <v>97</v>
      </c>
      <c r="C41" s="1" t="s">
        <v>25</v>
      </c>
      <c r="D41" s="1">
        <v>770</v>
      </c>
      <c r="E41" s="2">
        <v>46248</v>
      </c>
      <c r="F41" s="2">
        <v>46250</v>
      </c>
      <c r="G41" s="1">
        <v>330000</v>
      </c>
      <c r="H41" s="1" t="s">
        <v>14</v>
      </c>
      <c r="I41" s="1">
        <f>Table1[[#This Row],[Decision Date]]-Table1[[#This Row],[App Date]]</f>
        <v>2</v>
      </c>
      <c r="J41" s="1" t="str">
        <f>IF(Table1[[#This Row],[CIBIL Score]]&gt;=750,"Tire 1 Prime",IF(Table1[[#This Row],[CIBIL Score]]&gt;=700,"Tire 2 Standerd","Tire 3 Subprime"))</f>
        <v>Tire 1 Prime</v>
      </c>
      <c r="K41" s="1" t="str">
        <f>IF((Table1[[#This Row],[Decision Date]]-Table1[[#This Row],[App Date]])&lt;=2,"Within SLA","SLA Breached")</f>
        <v>Within SLA</v>
      </c>
    </row>
    <row r="42" spans="1:11" x14ac:dyDescent="0.3">
      <c r="A42" s="1" t="s">
        <v>98</v>
      </c>
      <c r="B42" s="1" t="s">
        <v>99</v>
      </c>
      <c r="C42" s="1" t="s">
        <v>13</v>
      </c>
      <c r="D42" s="1">
        <v>780</v>
      </c>
      <c r="E42" s="2">
        <v>46248</v>
      </c>
      <c r="F42" s="2">
        <v>46249</v>
      </c>
      <c r="G42" s="1">
        <v>290000</v>
      </c>
      <c r="H42" s="1" t="s">
        <v>14</v>
      </c>
      <c r="I42" s="1">
        <f>Table1[[#This Row],[Decision Date]]-Table1[[#This Row],[App Date]]</f>
        <v>1</v>
      </c>
      <c r="J42" s="1" t="str">
        <f>IF(Table1[[#This Row],[CIBIL Score]]&gt;=750,"Tire 1 Prime",IF(Table1[[#This Row],[CIBIL Score]]&gt;=700,"Tire 2 Standerd","Tire 3 Subprime"))</f>
        <v>Tire 1 Prime</v>
      </c>
      <c r="K42" s="1" t="str">
        <f>IF((Table1[[#This Row],[Decision Date]]-Table1[[#This Row],[App Date]])&lt;=2,"Within SLA","SLA Breached")</f>
        <v>Within SLA</v>
      </c>
    </row>
    <row r="43" spans="1:11" x14ac:dyDescent="0.3">
      <c r="A43" s="1" t="s">
        <v>100</v>
      </c>
      <c r="B43" s="1" t="s">
        <v>101</v>
      </c>
      <c r="C43" s="1" t="s">
        <v>17</v>
      </c>
      <c r="D43" s="1">
        <v>810</v>
      </c>
      <c r="E43" s="2">
        <v>46248</v>
      </c>
      <c r="F43" s="2">
        <v>46249</v>
      </c>
      <c r="G43" s="1">
        <v>480000</v>
      </c>
      <c r="H43" s="1" t="s">
        <v>14</v>
      </c>
      <c r="I43" s="1">
        <f>Table1[[#This Row],[Decision Date]]-Table1[[#This Row],[App Date]]</f>
        <v>1</v>
      </c>
      <c r="J43" s="1" t="str">
        <f>IF(Table1[[#This Row],[CIBIL Score]]&gt;=750,"Tire 1 Prime",IF(Table1[[#This Row],[CIBIL Score]]&gt;=700,"Tire 2 Standerd","Tire 3 Subprime"))</f>
        <v>Tire 1 Prime</v>
      </c>
      <c r="K43" s="1" t="str">
        <f>IF((Table1[[#This Row],[Decision Date]]-Table1[[#This Row],[App Date]])&lt;=2,"Within SLA","SLA Breached")</f>
        <v>Within SLA</v>
      </c>
    </row>
    <row r="44" spans="1:11" x14ac:dyDescent="0.3">
      <c r="A44" s="1" t="s">
        <v>102</v>
      </c>
      <c r="B44" s="1" t="s">
        <v>103</v>
      </c>
      <c r="C44" s="1" t="s">
        <v>20</v>
      </c>
      <c r="D44" s="1">
        <v>640</v>
      </c>
      <c r="E44" s="2">
        <v>46249</v>
      </c>
      <c r="F44" s="2">
        <v>46254</v>
      </c>
      <c r="G44" s="1">
        <v>0</v>
      </c>
      <c r="H44" s="1" t="s">
        <v>21</v>
      </c>
      <c r="I44" s="1">
        <f>Table1[[#This Row],[Decision Date]]-Table1[[#This Row],[App Date]]</f>
        <v>5</v>
      </c>
      <c r="J44" s="1" t="str">
        <f>IF(Table1[[#This Row],[CIBIL Score]]&gt;=750,"Tire 1 Prime",IF(Table1[[#This Row],[CIBIL Score]]&gt;=700,"Tire 2 Standerd","Tire 3 Subprime"))</f>
        <v>Tire 3 Subprime</v>
      </c>
      <c r="K44" s="1" t="str">
        <f>IF((Table1[[#This Row],[Decision Date]]-Table1[[#This Row],[App Date]])&lt;=2,"Within SLA","SLA Breached")</f>
        <v>SLA Breached</v>
      </c>
    </row>
    <row r="45" spans="1:11" x14ac:dyDescent="0.3">
      <c r="A45" s="1" t="s">
        <v>104</v>
      </c>
      <c r="B45" s="1" t="s">
        <v>105</v>
      </c>
      <c r="C45" s="1" t="s">
        <v>25</v>
      </c>
      <c r="D45" s="1">
        <v>730</v>
      </c>
      <c r="E45" s="2">
        <v>46249</v>
      </c>
      <c r="F45" s="2">
        <v>46251</v>
      </c>
      <c r="G45" s="1">
        <v>200000</v>
      </c>
      <c r="H45" s="1" t="s">
        <v>14</v>
      </c>
      <c r="I45" s="1">
        <f>Table1[[#This Row],[Decision Date]]-Table1[[#This Row],[App Date]]</f>
        <v>2</v>
      </c>
      <c r="J45" s="1" t="str">
        <f>IF(Table1[[#This Row],[CIBIL Score]]&gt;=750,"Tire 1 Prime",IF(Table1[[#This Row],[CIBIL Score]]&gt;=700,"Tire 2 Standerd","Tire 3 Subprime"))</f>
        <v>Tire 2 Standerd</v>
      </c>
      <c r="K45" s="1" t="str">
        <f>IF((Table1[[#This Row],[Decision Date]]-Table1[[#This Row],[App Date]])&lt;=2,"Within SLA","SLA Breached")</f>
        <v>Within SLA</v>
      </c>
    </row>
    <row r="46" spans="1:11" x14ac:dyDescent="0.3">
      <c r="A46" s="1" t="s">
        <v>106</v>
      </c>
      <c r="B46" s="1" t="s">
        <v>107</v>
      </c>
      <c r="C46" s="1" t="s">
        <v>13</v>
      </c>
      <c r="D46" s="1">
        <v>750</v>
      </c>
      <c r="E46" s="2">
        <v>46249</v>
      </c>
      <c r="F46" s="2">
        <v>46251</v>
      </c>
      <c r="G46" s="1">
        <v>260000</v>
      </c>
      <c r="H46" s="1" t="s">
        <v>14</v>
      </c>
      <c r="I46" s="1">
        <f>Table1[[#This Row],[Decision Date]]-Table1[[#This Row],[App Date]]</f>
        <v>2</v>
      </c>
      <c r="J46" s="1" t="str">
        <f>IF(Table1[[#This Row],[CIBIL Score]]&gt;=750,"Tire 1 Prime",IF(Table1[[#This Row],[CIBIL Score]]&gt;=700,"Tire 2 Standerd","Tire 3 Subprime"))</f>
        <v>Tire 1 Prime</v>
      </c>
      <c r="K46" s="1" t="str">
        <f>IF((Table1[[#This Row],[Decision Date]]-Table1[[#This Row],[App Date]])&lt;=2,"Within SLA","SLA Breached")</f>
        <v>Within SLA</v>
      </c>
    </row>
    <row r="47" spans="1:11" x14ac:dyDescent="0.3">
      <c r="A47" s="1" t="s">
        <v>108</v>
      </c>
      <c r="B47" s="1" t="s">
        <v>109</v>
      </c>
      <c r="C47" s="1" t="s">
        <v>17</v>
      </c>
      <c r="D47" s="1">
        <v>850</v>
      </c>
      <c r="E47" s="2">
        <v>46250</v>
      </c>
      <c r="F47" s="2">
        <v>46251</v>
      </c>
      <c r="G47" s="1">
        <v>800000</v>
      </c>
      <c r="H47" s="1" t="s">
        <v>14</v>
      </c>
      <c r="I47" s="1">
        <f>Table1[[#This Row],[Decision Date]]-Table1[[#This Row],[App Date]]</f>
        <v>1</v>
      </c>
      <c r="J47" s="1" t="str">
        <f>IF(Table1[[#This Row],[CIBIL Score]]&gt;=750,"Tire 1 Prime",IF(Table1[[#This Row],[CIBIL Score]]&gt;=700,"Tire 2 Standerd","Tire 3 Subprime"))</f>
        <v>Tire 1 Prime</v>
      </c>
      <c r="K47" s="1" t="str">
        <f>IF((Table1[[#This Row],[Decision Date]]-Table1[[#This Row],[App Date]])&lt;=2,"Within SLA","SLA Breached")</f>
        <v>Within SLA</v>
      </c>
    </row>
    <row r="48" spans="1:11" x14ac:dyDescent="0.3">
      <c r="A48" s="1" t="s">
        <v>110</v>
      </c>
      <c r="B48" s="1" t="s">
        <v>111</v>
      </c>
      <c r="C48" s="1" t="s">
        <v>20</v>
      </c>
      <c r="D48" s="1">
        <v>580</v>
      </c>
      <c r="E48" s="2">
        <v>46250</v>
      </c>
      <c r="F48" s="2">
        <v>46255</v>
      </c>
      <c r="G48" s="1">
        <v>0</v>
      </c>
      <c r="H48" s="1" t="s">
        <v>21</v>
      </c>
      <c r="I48" s="1">
        <f>Table1[[#This Row],[Decision Date]]-Table1[[#This Row],[App Date]]</f>
        <v>5</v>
      </c>
      <c r="J48" s="1" t="str">
        <f>IF(Table1[[#This Row],[CIBIL Score]]&gt;=750,"Tire 1 Prime",IF(Table1[[#This Row],[CIBIL Score]]&gt;=700,"Tire 2 Standerd","Tire 3 Subprime"))</f>
        <v>Tire 3 Subprime</v>
      </c>
      <c r="K48" s="1" t="str">
        <f>IF((Table1[[#This Row],[Decision Date]]-Table1[[#This Row],[App Date]])&lt;=2,"Within SLA","SLA Breached")</f>
        <v>SLA Breached</v>
      </c>
    </row>
    <row r="49" spans="1:11" x14ac:dyDescent="0.3">
      <c r="A49" s="1" t="s">
        <v>112</v>
      </c>
      <c r="B49" s="1" t="s">
        <v>113</v>
      </c>
      <c r="C49" s="1" t="s">
        <v>25</v>
      </c>
      <c r="D49" s="1">
        <v>710</v>
      </c>
      <c r="E49" s="2">
        <v>46250</v>
      </c>
      <c r="F49" s="2">
        <v>46252</v>
      </c>
      <c r="G49" s="1">
        <v>150000</v>
      </c>
      <c r="H49" s="1" t="s">
        <v>14</v>
      </c>
      <c r="I49" s="1">
        <f>Table1[[#This Row],[Decision Date]]-Table1[[#This Row],[App Date]]</f>
        <v>2</v>
      </c>
      <c r="J49" s="1" t="str">
        <f>IF(Table1[[#This Row],[CIBIL Score]]&gt;=750,"Tire 1 Prime",IF(Table1[[#This Row],[CIBIL Score]]&gt;=700,"Tire 2 Standerd","Tire 3 Subprime"))</f>
        <v>Tire 2 Standerd</v>
      </c>
      <c r="K49" s="1" t="str">
        <f>IF((Table1[[#This Row],[Decision Date]]-Table1[[#This Row],[App Date]])&lt;=2,"Within SLA","SLA Breached")</f>
        <v>Within SLA</v>
      </c>
    </row>
    <row r="50" spans="1:11" x14ac:dyDescent="0.3">
      <c r="A50" s="1" t="s">
        <v>114</v>
      </c>
      <c r="B50" s="1" t="s">
        <v>115</v>
      </c>
      <c r="C50" s="1" t="s">
        <v>13</v>
      </c>
      <c r="D50" s="1">
        <v>690</v>
      </c>
      <c r="E50" s="2">
        <v>46251</v>
      </c>
      <c r="F50" s="2">
        <v>46254</v>
      </c>
      <c r="G50" s="1">
        <v>0</v>
      </c>
      <c r="H50" s="1" t="s">
        <v>36</v>
      </c>
      <c r="I50" s="1">
        <f>Table1[[#This Row],[Decision Date]]-Table1[[#This Row],[App Date]]</f>
        <v>3</v>
      </c>
      <c r="J50" s="1" t="str">
        <f>IF(Table1[[#This Row],[CIBIL Score]]&gt;=750,"Tire 1 Prime",IF(Table1[[#This Row],[CIBIL Score]]&gt;=700,"Tire 2 Standerd","Tire 3 Subprime"))</f>
        <v>Tire 3 Subprime</v>
      </c>
      <c r="K50" s="1" t="str">
        <f>IF((Table1[[#This Row],[Decision Date]]-Table1[[#This Row],[App Date]])&lt;=2,"Within SLA","SLA Breached")</f>
        <v>SLA Breached</v>
      </c>
    </row>
    <row r="51" spans="1:11" x14ac:dyDescent="0.3">
      <c r="A51" s="1" t="s">
        <v>116</v>
      </c>
      <c r="B51" s="1" t="s">
        <v>117</v>
      </c>
      <c r="C51" s="1" t="s">
        <v>17</v>
      </c>
      <c r="D51" s="1">
        <v>800</v>
      </c>
      <c r="E51" s="2">
        <v>46251</v>
      </c>
      <c r="F51" s="2">
        <v>46252</v>
      </c>
      <c r="G51" s="1">
        <v>390000</v>
      </c>
      <c r="H51" s="1" t="s">
        <v>14</v>
      </c>
      <c r="I51" s="1">
        <f>Table1[[#This Row],[Decision Date]]-Table1[[#This Row],[App Date]]</f>
        <v>1</v>
      </c>
      <c r="J51" s="1" t="str">
        <f>IF(Table1[[#This Row],[CIBIL Score]]&gt;=750,"Tire 1 Prime",IF(Table1[[#This Row],[CIBIL Score]]&gt;=700,"Tire 2 Standerd","Tire 3 Subprime"))</f>
        <v>Tire 1 Prime</v>
      </c>
      <c r="K51" s="1" t="str">
        <f>IF((Table1[[#This Row],[Decision Date]]-Table1[[#This Row],[App Date]])&lt;=2,"Within SLA","SLA Breached")</f>
        <v>Within SLA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5F66-CB7C-4930-B305-46270A3D1407}">
  <dimension ref="A3:O15"/>
  <sheetViews>
    <sheetView showGridLines="0" workbookViewId="0">
      <selection activeCell="I18" sqref="I18"/>
    </sheetView>
  </sheetViews>
  <sheetFormatPr defaultRowHeight="14.4" x14ac:dyDescent="0.3"/>
  <cols>
    <col min="1" max="1" width="13.6640625" bestFit="1" customWidth="1"/>
    <col min="2" max="2" width="21.77734375" bestFit="1" customWidth="1"/>
    <col min="3" max="3" width="3.33203125" customWidth="1"/>
    <col min="4" max="4" width="12.5546875" bestFit="1" customWidth="1"/>
    <col min="5" max="5" width="18.88671875" bestFit="1" customWidth="1"/>
    <col min="6" max="6" width="3.33203125" customWidth="1"/>
    <col min="7" max="7" width="12.5546875" bestFit="1" customWidth="1"/>
    <col min="8" max="8" width="14.5546875" bestFit="1" customWidth="1"/>
    <col min="9" max="9" width="3.33203125" customWidth="1"/>
    <col min="10" max="10" width="12.5546875" bestFit="1" customWidth="1"/>
    <col min="11" max="11" width="21.77734375" bestFit="1" customWidth="1"/>
    <col min="12" max="12" width="13.6640625" bestFit="1" customWidth="1"/>
    <col min="13" max="13" width="11.5546875" hidden="1" customWidth="1"/>
    <col min="14" max="14" width="7.44140625" hidden="1" customWidth="1"/>
    <col min="15" max="15" width="19.44140625" bestFit="1" customWidth="1"/>
  </cols>
  <sheetData>
    <row r="3" spans="1:15" x14ac:dyDescent="0.3">
      <c r="A3" s="10" t="s">
        <v>118</v>
      </c>
      <c r="B3" s="10" t="s">
        <v>119</v>
      </c>
      <c r="D3" s="10" t="s">
        <v>118</v>
      </c>
      <c r="E3" s="10" t="s">
        <v>120</v>
      </c>
      <c r="G3" s="10" t="s">
        <v>118</v>
      </c>
      <c r="H3" s="10" t="s">
        <v>121</v>
      </c>
      <c r="J3" s="10" t="s">
        <v>118</v>
      </c>
      <c r="K3" s="10" t="s">
        <v>119</v>
      </c>
      <c r="L3" s="10" t="s">
        <v>9</v>
      </c>
      <c r="M3" s="10" t="s">
        <v>21</v>
      </c>
      <c r="N3" s="10" t="s">
        <v>122</v>
      </c>
      <c r="O3" s="10" t="s">
        <v>123</v>
      </c>
    </row>
    <row r="4" spans="1:15" x14ac:dyDescent="0.3">
      <c r="A4" s="4" t="s">
        <v>124</v>
      </c>
      <c r="B4" s="7">
        <v>8750000</v>
      </c>
      <c r="D4" s="4" t="s">
        <v>13</v>
      </c>
      <c r="E4" s="5">
        <v>2.1538461538461537</v>
      </c>
      <c r="G4" s="4" t="s">
        <v>125</v>
      </c>
      <c r="H4" s="7">
        <v>18</v>
      </c>
      <c r="J4" s="4" t="s">
        <v>13</v>
      </c>
      <c r="K4" s="7">
        <v>1900000</v>
      </c>
      <c r="L4" s="13" t="s">
        <v>124</v>
      </c>
      <c r="M4" s="13">
        <f>COUNTIFS([1]!Table1[Risk Band],"Tire 1 Prime",[1]!Table1[Status],"Rejected")</f>
        <v>1</v>
      </c>
      <c r="N4" s="13">
        <f>COUNTIF([1]!Table1[Risk Band],"Tire 1 Prime")</f>
        <v>23</v>
      </c>
      <c r="O4" s="14">
        <f>M4/N4</f>
        <v>4.3478260869565216E-2</v>
      </c>
    </row>
    <row r="5" spans="1:15" x14ac:dyDescent="0.3">
      <c r="A5" s="4" t="s">
        <v>126</v>
      </c>
      <c r="B5" s="7">
        <v>1480000</v>
      </c>
      <c r="D5" s="4" t="s">
        <v>25</v>
      </c>
      <c r="E5" s="5">
        <v>1.9166666666666667</v>
      </c>
      <c r="G5" s="4" t="s">
        <v>127</v>
      </c>
      <c r="H5" s="7">
        <v>32</v>
      </c>
      <c r="J5" s="4" t="s">
        <v>25</v>
      </c>
      <c r="K5" s="7">
        <v>2580000</v>
      </c>
      <c r="L5" s="13" t="s">
        <v>126</v>
      </c>
      <c r="M5" s="13">
        <f>COUNTIFS([1]!Table1[Risk Band],"Tire 2 Standerd",[1]!Table1[Status],"Rejected")</f>
        <v>0</v>
      </c>
      <c r="N5" s="13">
        <f>COUNTIF([1]!Table1[Risk Band],Table5[[#This Row],[Risk Band]])</f>
        <v>11</v>
      </c>
      <c r="O5" s="14">
        <f t="shared" ref="O5:O6" si="0">M5/N5</f>
        <v>0</v>
      </c>
    </row>
    <row r="6" spans="1:15" x14ac:dyDescent="0.3">
      <c r="A6" s="4" t="s">
        <v>128</v>
      </c>
      <c r="B6" s="7">
        <v>270000</v>
      </c>
      <c r="D6" s="4" t="s">
        <v>17</v>
      </c>
      <c r="E6" s="5">
        <v>1.0769230769230769</v>
      </c>
      <c r="G6" s="11" t="s">
        <v>129</v>
      </c>
      <c r="H6" s="12">
        <v>50</v>
      </c>
      <c r="J6" s="4" t="s">
        <v>17</v>
      </c>
      <c r="K6" s="7">
        <v>6020000</v>
      </c>
      <c r="L6" s="13" t="s">
        <v>128</v>
      </c>
      <c r="M6" s="13">
        <f>COUNTIFS([1]!Table1[Risk Band],"Tire 3 Subprime",[1]!Table1[Status],"Rejected")</f>
        <v>12</v>
      </c>
      <c r="N6" s="13">
        <f>COUNTIF([1]!Table1[Risk Band],Table5[[#This Row],[Risk Band]])</f>
        <v>16</v>
      </c>
      <c r="O6" s="14">
        <f t="shared" si="0"/>
        <v>0.75</v>
      </c>
    </row>
    <row r="7" spans="1:15" x14ac:dyDescent="0.3">
      <c r="A7" s="11" t="s">
        <v>129</v>
      </c>
      <c r="B7" s="12">
        <v>10500000</v>
      </c>
      <c r="D7" s="4" t="s">
        <v>20</v>
      </c>
      <c r="E7" s="5">
        <v>4.666666666666667</v>
      </c>
      <c r="J7" s="4" t="s">
        <v>20</v>
      </c>
      <c r="K7" s="7">
        <v>0</v>
      </c>
    </row>
    <row r="8" spans="1:15" x14ac:dyDescent="0.3">
      <c r="D8" s="11" t="s">
        <v>129</v>
      </c>
      <c r="E8" s="12">
        <v>2.42</v>
      </c>
      <c r="J8" s="11" t="s">
        <v>129</v>
      </c>
      <c r="K8" s="12">
        <v>10500000</v>
      </c>
      <c r="L8" s="10" t="s">
        <v>130</v>
      </c>
      <c r="M8" t="s">
        <v>14</v>
      </c>
      <c r="N8" t="s">
        <v>131</v>
      </c>
      <c r="O8" s="9" t="s">
        <v>132</v>
      </c>
    </row>
    <row r="9" spans="1:15" x14ac:dyDescent="0.3">
      <c r="L9" s="1" t="s">
        <v>13</v>
      </c>
      <c r="M9" s="1">
        <f>COUNTIFS([1]!Table1[Clean Channel],"BRANCH",[1]!Table1[Status],"Approved")</f>
        <v>8</v>
      </c>
      <c r="N9" s="1">
        <f>COUNTIF([1]!Table1[Clean Channel],"BRANCH")</f>
        <v>13</v>
      </c>
      <c r="O9" s="6">
        <f>M9/N9</f>
        <v>0.61538461538461542</v>
      </c>
    </row>
    <row r="10" spans="1:15" x14ac:dyDescent="0.3">
      <c r="L10" s="1" t="s">
        <v>25</v>
      </c>
      <c r="M10" s="1">
        <f>COUNTIFS([1]!Table1[Clean Channel],"DSA",[1]!Table1[Status],"Approved")</f>
        <v>11</v>
      </c>
      <c r="N10" s="1">
        <f>COUNTIF([1]!Table1[Clean Channel],"DSA")</f>
        <v>12</v>
      </c>
      <c r="O10" s="6">
        <f>M10/N10</f>
        <v>0.91666666666666663</v>
      </c>
    </row>
    <row r="11" spans="1:15" x14ac:dyDescent="0.3">
      <c r="L11" s="1" t="s">
        <v>17</v>
      </c>
      <c r="M11" s="1">
        <f>COUNTIFS([1]!Table1[Clean Channel],"ONLINE",[1]!Table1[Status],"Approved")</f>
        <v>13</v>
      </c>
      <c r="N11" s="1">
        <f>COUNTIF([1]!Table1[Clean Channel],"ONLINE")</f>
        <v>13</v>
      </c>
      <c r="O11" s="6">
        <f>M11/N11</f>
        <v>1</v>
      </c>
    </row>
    <row r="12" spans="1:15" x14ac:dyDescent="0.3">
      <c r="L12" s="1" t="s">
        <v>20</v>
      </c>
      <c r="M12" s="1">
        <f>COUNTIFS([1]!Table1[Clean Channel],"TELE- SALSE",[1]!Table1[Status],"Approved")</f>
        <v>0</v>
      </c>
      <c r="N12" s="1">
        <f>COUNTIF([1]!Table1[Clean Channel],"TELE- SALSE")</f>
        <v>12</v>
      </c>
      <c r="O12" s="6">
        <f>M12/N12</f>
        <v>0</v>
      </c>
    </row>
    <row r="15" spans="1:15" x14ac:dyDescent="0.3">
      <c r="G15" s="8"/>
    </row>
  </sheetData>
  <pageMargins left="0.7" right="0.7" top="0.75" bottom="0.75" header="0.3" footer="0.3"/>
  <tableParts count="2">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11B4-728F-49BB-B8D7-DB11B45133E7}">
  <dimension ref="A1"/>
  <sheetViews>
    <sheetView showGridLines="0" topLeftCell="A2" workbookViewId="0">
      <selection activeCell="U19" sqref="U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Shorted table</vt:lpstr>
      <vt:lpstr>Clint Requied KPIs</vt:lpstr>
      <vt:lpstr>Graphical Representation of 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dc:creator>
  <cp:lastModifiedBy>prafull</cp:lastModifiedBy>
  <dcterms:created xsi:type="dcterms:W3CDTF">2026-09-20T09:38:48Z</dcterms:created>
  <dcterms:modified xsi:type="dcterms:W3CDTF">2026-09-20T10:58:11Z</dcterms:modified>
</cp:coreProperties>
</file>